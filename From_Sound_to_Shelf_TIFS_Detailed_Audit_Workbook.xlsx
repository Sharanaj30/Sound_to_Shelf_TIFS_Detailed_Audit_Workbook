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comments/comment1.xml" ContentType="application/vnd.openxmlformats-officedocument.spreadsheetml.comments+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2.xml" ContentType="application/vnd.openxmlformats-officedocument.spreadsheetml.comments+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comments/comment3.xml" ContentType="application/vnd.openxmlformats-officedocument.spreadsheetml.comments+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00_README" sheetId="1" state="visible" r:id="rId1"/>
    <sheet xmlns:r="http://schemas.openxmlformats.org/officeDocument/2006/relationships" name="01_Dashboard" sheetId="2" state="visible" r:id="rId2"/>
    <sheet xmlns:r="http://schemas.openxmlformats.org/officeDocument/2006/relationships" name="02_Story_Audit" sheetId="3" state="visible" r:id="rId3"/>
    <sheet xmlns:r="http://schemas.openxmlformats.org/officeDocument/2006/relationships" name="03_Section_Audit" sheetId="4" state="visible" r:id="rId4"/>
    <sheet xmlns:r="http://schemas.openxmlformats.org/officeDocument/2006/relationships" name="04_Claim_Evidence" sheetId="5" state="visible" r:id="rId5"/>
    <sheet xmlns:r="http://schemas.openxmlformats.org/officeDocument/2006/relationships" name="05_Study_Comparison" sheetId="6" state="visible" r:id="rId6"/>
    <sheet xmlns:r="http://schemas.openxmlformats.org/officeDocument/2006/relationships" name="06_Evidence_Chain" sheetId="7" state="visible" r:id="rId7"/>
    <sheet xmlns:r="http://schemas.openxmlformats.org/officeDocument/2006/relationships" name="07_Contradictions" sheetId="8" state="visible" r:id="rId8"/>
    <sheet xmlns:r="http://schemas.openxmlformats.org/officeDocument/2006/relationships" name="08_Gaps_Innovations" sheetId="9" state="visible" r:id="rId9"/>
    <sheet xmlns:r="http://schemas.openxmlformats.org/officeDocument/2006/relationships" name="09_Figure_Audit" sheetId="10" state="visible" r:id="rId10"/>
    <sheet xmlns:r="http://schemas.openxmlformats.org/officeDocument/2006/relationships" name="10_Table_Audit" sheetId="11" state="visible" r:id="rId11"/>
    <sheet xmlns:r="http://schemas.openxmlformats.org/officeDocument/2006/relationships" name="11_Supplement_Audit" sheetId="12" state="visible" r:id="rId12"/>
    <sheet xmlns:r="http://schemas.openxmlformats.org/officeDocument/2006/relationships" name="12_Reference_Audit" sheetId="13" state="visible" r:id="rId13"/>
    <sheet xmlns:r="http://schemas.openxmlformats.org/officeDocument/2006/relationships" name="13_TIFS_Compliance" sheetId="14" state="visible" r:id="rId14"/>
    <sheet xmlns:r="http://schemas.openxmlformats.org/officeDocument/2006/relationships" name="15_Writing_Sentences" sheetId="15" state="visible" r:id="rId15"/>
    <sheet xmlns:r="http://schemas.openxmlformats.org/officeDocument/2006/relationships" name="14_Writing_Summary" sheetId="16" state="visible" r:id="rId16"/>
    <sheet xmlns:r="http://schemas.openxmlformats.org/officeDocument/2006/relationships" name="16_Action_Plan" sheetId="17" state="visible" r:id="rId17"/>
    <sheet xmlns:r="http://schemas.openxmlformats.org/officeDocument/2006/relationships" name="17_Decision_Log" sheetId="18" state="visible" r:id="rId18"/>
    <sheet xmlns:r="http://schemas.openxmlformats.org/officeDocument/2006/relationships" name="Lists" sheetId="19" state="hidden" r:id="rId19"/>
  </sheets>
  <definedNames>
    <definedName name="_xlnm.Print_Titles" localSheetId="0">'00_README'!$1:$3</definedName>
    <definedName name="_xlnm.Print_Titles" localSheetId="1">'01_Dashboard'!$1:$3</definedName>
    <definedName name="_xlnm.Print_Titles" localSheetId="2">'02_Story_Audit'!$1:$3</definedName>
    <definedName name="_xlnm.Print_Titles" localSheetId="3">'03_Section_Audit'!$1:$3</definedName>
    <definedName name="_xlnm.Print_Titles" localSheetId="4">'04_Claim_Evidence'!$1:$3</definedName>
    <definedName name="_xlnm.Print_Titles" localSheetId="5">'05_Study_Comparison'!$1:$3</definedName>
    <definedName name="_xlnm.Print_Titles" localSheetId="6">'06_Evidence_Chain'!$1:$3</definedName>
    <definedName name="_xlnm.Print_Titles" localSheetId="7">'07_Contradictions'!$1:$3</definedName>
    <definedName name="_xlnm.Print_Titles" localSheetId="8">'08_Gaps_Innovations'!$1:$3</definedName>
    <definedName name="_xlnm.Print_Titles" localSheetId="9">'09_Figure_Audit'!$1:$3</definedName>
    <definedName name="_xlnm.Print_Titles" localSheetId="10">'10_Table_Audit'!$1:$3</definedName>
    <definedName name="_xlnm.Print_Titles" localSheetId="11">'11_Supplement_Audit'!$1:$3</definedName>
    <definedName name="_xlnm.Print_Titles" localSheetId="12">'12_Reference_Audit'!$1:$3</definedName>
    <definedName name="_xlnm.Print_Titles" localSheetId="13">'13_TIFS_Compliance'!$1:$3</definedName>
    <definedName name="_xlnm.Print_Titles" localSheetId="14">'15_Writing_Sentences'!$1:$3</definedName>
    <definedName name="_xlnm.Print_Titles" localSheetId="15">'14_Writing_Summary'!$1:$3</definedName>
    <definedName name="_xlnm.Print_Titles" localSheetId="16">'16_Action_Plan'!$1:$3</definedName>
    <definedName name="_xlnm.Print_Titles" localSheetId="17">'17_Decision_Log'!$1:$3</definedName>
  </definedNames>
  <calcPr calcId="124519" calcMode="auto" fullCalcOnLoad="1" forceFullCalc="1"/>
</workbook>
</file>

<file path=xl/styles.xml><?xml version="1.0" encoding="utf-8"?>
<styleSheet xmlns="http://schemas.openxmlformats.org/spreadsheetml/2006/main">
  <numFmts count="3">
    <numFmt numFmtId="164" formatCode="0.0%"/>
    <numFmt numFmtId="165" formatCode="0.0"/>
    <numFmt numFmtId="166" formatCode="yyyy-mm-dd"/>
  </numFmts>
  <fonts count="15">
    <font>
      <name val="Calibri"/>
      <family val="2"/>
      <color theme="1"/>
      <sz val="11"/>
      <scheme val="minor"/>
    </font>
    <font>
      <name val="Aptos Display"/>
      <b val="1"/>
      <color rgb="00FFFFFF"/>
      <sz val="18"/>
    </font>
    <font>
      <name val="Aptos"/>
      <i val="1"/>
      <color rgb="00666666"/>
      <sz val="10"/>
    </font>
    <font>
      <name val="Aptos"/>
      <b val="1"/>
      <color rgb="00FFFFFF"/>
      <sz val="11"/>
    </font>
    <font>
      <b val="1"/>
      <color rgb="0017365D"/>
    </font>
    <font>
      <name val="Aptos"/>
      <b val="1"/>
      <color rgb="00FFFFFF"/>
      <sz val="10"/>
    </font>
    <font>
      <name val="Aptos"/>
      <color rgb="00000000"/>
      <sz val="9"/>
    </font>
    <font>
      <b val="1"/>
      <color rgb="000000FF"/>
    </font>
    <font>
      <b val="1"/>
      <color rgb="00008000"/>
    </font>
    <font>
      <b val="1"/>
      <color rgb="00000000"/>
    </font>
    <font>
      <name val="Calibri"/>
      <family val="2"/>
      <color theme="10"/>
      <sz val="12"/>
      <scheme val="minor"/>
    </font>
    <font>
      <color rgb="000000FF"/>
    </font>
    <font>
      <b val="1"/>
      <color rgb="00FFFFFF"/>
    </font>
    <font>
      <b val="1"/>
      <color rgb="0017365D"/>
      <sz val="16"/>
    </font>
    <font>
      <b val="1"/>
      <color rgb="0017365D"/>
      <sz val="18"/>
    </font>
  </fonts>
  <fills count="13">
    <fill>
      <patternFill/>
    </fill>
    <fill>
      <patternFill patternType="gray125"/>
    </fill>
    <fill>
      <patternFill patternType="solid">
        <fgColor rgb="0017365D"/>
      </patternFill>
    </fill>
    <fill>
      <patternFill patternType="solid">
        <fgColor rgb="00F2F2F2"/>
      </patternFill>
    </fill>
    <fill>
      <patternFill patternType="solid">
        <fgColor rgb="001F4E78"/>
      </patternFill>
    </fill>
    <fill>
      <patternFill patternType="solid">
        <fgColor rgb="00FFF2CC"/>
      </patternFill>
    </fill>
    <fill>
      <patternFill patternType="solid">
        <fgColor rgb="00E2F0D9"/>
      </patternFill>
    </fill>
    <fill>
      <patternFill patternType="solid">
        <fgColor rgb="00FFFFFF"/>
      </patternFill>
    </fill>
    <fill>
      <patternFill patternType="solid">
        <fgColor rgb="00FCE4D6"/>
      </patternFill>
    </fill>
    <fill>
      <patternFill patternType="solid">
        <fgColor rgb="00F4CCCC"/>
      </patternFill>
    </fill>
    <fill>
      <patternFill patternType="solid">
        <fgColor rgb="00E4DFEC"/>
      </patternFill>
    </fill>
    <fill>
      <patternFill patternType="solid">
        <fgColor rgb="00DDEBF7"/>
      </patternFill>
    </fill>
    <fill>
      <patternFill patternType="solid">
        <fgColor rgb="000F6B78"/>
      </patternFill>
    </fill>
  </fills>
  <borders count="3">
    <border>
      <left/>
      <right/>
      <top/>
      <bottom/>
      <diagonal/>
    </border>
    <border>
      <bottom style="medium">
        <color rgb="0017365D"/>
      </bottom>
    </border>
    <border>
      <bottom style="hair">
        <color rgb="00D9D9D9"/>
      </bottom>
    </border>
  </borders>
  <cellStyleXfs count="2">
    <xf numFmtId="0" fontId="0" fillId="0" borderId="0"/>
    <xf numFmtId="0" fontId="10" fillId="0" borderId="0"/>
  </cellStyleXfs>
  <cellXfs count="27">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vertical="center" wrapText="1"/>
    </xf>
    <xf numFmtId="0" fontId="12" fillId="12" borderId="0" applyAlignment="1" pivotButton="0" quotePrefix="0" xfId="0">
      <alignment horizontal="center"/>
    </xf>
    <xf numFmtId="0" fontId="4" fillId="0" borderId="0" pivotButton="0" quotePrefix="0" xfId="0"/>
    <xf numFmtId="164" fontId="6" fillId="11" borderId="0" applyAlignment="1" pivotButton="0" quotePrefix="0" xfId="0">
      <alignment horizontal="center"/>
    </xf>
    <xf numFmtId="0" fontId="6" fillId="11" borderId="0" applyAlignment="1" pivotButton="0" quotePrefix="0" xfId="0">
      <alignment horizontal="center"/>
    </xf>
    <xf numFmtId="0" fontId="6" fillId="0" borderId="0" pivotButton="0" quotePrefix="0" xfId="0"/>
    <xf numFmtId="0" fontId="3" fillId="2" borderId="0" applyAlignment="1" pivotButton="0" quotePrefix="0" xfId="0">
      <alignment horizontal="left" vertical="center"/>
    </xf>
    <xf numFmtId="0" fontId="5" fillId="4" borderId="1" applyAlignment="1" pivotButton="0" quotePrefix="0" xfId="0">
      <alignment horizontal="center" vertical="center" wrapText="1"/>
    </xf>
    <xf numFmtId="0" fontId="6" fillId="0" borderId="2" applyAlignment="1" pivotButton="0" quotePrefix="0" xfId="0">
      <alignment vertical="top" wrapText="1"/>
    </xf>
    <xf numFmtId="164" fontId="6" fillId="0" borderId="2" applyAlignment="1" pivotButton="0" quotePrefix="0" xfId="0">
      <alignment vertical="top" wrapText="1"/>
    </xf>
    <xf numFmtId="0" fontId="6" fillId="0" borderId="2" applyAlignment="1" pivotButton="0" quotePrefix="0" xfId="1">
      <alignment vertical="top" wrapText="1"/>
    </xf>
    <xf numFmtId="0" fontId="0" fillId="0" borderId="0" applyAlignment="1" pivotButton="0" quotePrefix="0" xfId="0">
      <alignment vertical="top" wrapText="1"/>
    </xf>
    <xf numFmtId="0" fontId="7" fillId="5" borderId="0" pivotButton="0" quotePrefix="0" xfId="0"/>
    <xf numFmtId="0" fontId="0" fillId="0" borderId="0" applyAlignment="1" pivotButton="0" quotePrefix="0" xfId="0">
      <alignment wrapText="1"/>
    </xf>
    <xf numFmtId="0" fontId="8" fillId="6" borderId="0" pivotButton="0" quotePrefix="0" xfId="0"/>
    <xf numFmtId="0" fontId="9" fillId="7" borderId="0" pivotButton="0" quotePrefix="0" xfId="0"/>
    <xf numFmtId="0" fontId="9" fillId="8" borderId="0" pivotButton="0" quotePrefix="0" xfId="0"/>
    <xf numFmtId="0" fontId="9" fillId="9" borderId="0" pivotButton="0" quotePrefix="0" xfId="0"/>
    <xf numFmtId="0" fontId="9" fillId="10" borderId="0" pivotButton="0" quotePrefix="0" xfId="0"/>
    <xf numFmtId="0" fontId="9" fillId="11" borderId="0" pivotButton="0" quotePrefix="0" xfId="0"/>
    <xf numFmtId="0" fontId="10" fillId="0" borderId="0" pivotButton="0" quotePrefix="0" xfId="1"/>
    <xf numFmtId="165" fontId="6" fillId="0" borderId="0" pivotButton="0" quotePrefix="0" xfId="0"/>
    <xf numFmtId="0" fontId="13" fillId="11" borderId="0" applyAlignment="1" pivotButton="0" quotePrefix="0" xfId="0">
      <alignment horizontal="center"/>
    </xf>
    <xf numFmtId="165" fontId="6" fillId="0" borderId="2" applyAlignment="1" pivotButton="0" quotePrefix="0" xfId="0">
      <alignment vertical="top" wrapText="1"/>
    </xf>
    <xf numFmtId="166" fontId="6" fillId="0" borderId="2" applyAlignment="1" pivotButton="0" quotePrefix="0" xfId="0">
      <alignment vertical="top" wrapText="1"/>
    </xf>
  </cellXfs>
  <cellStyles count="2">
    <cellStyle name="Normal" xfId="0" builtinId="0" hidden="0"/>
    <cellStyle name="Hyperlink" xfId="1" builtinId="8" hidden="0"/>
  </cellStyles>
  <dxfs count="6">
    <dxf>
      <fill>
        <patternFill patternType="solid">
          <fgColor rgb="00E2F0D9"/>
        </patternFill>
      </fill>
    </dxf>
    <dxf>
      <fill>
        <patternFill patternType="solid">
          <fgColor rgb="00D9EAF7"/>
        </patternFill>
      </fill>
    </dxf>
    <dxf>
      <fill>
        <patternFill patternType="solid">
          <fgColor rgb="00FFF2CC"/>
        </patternFill>
      </fill>
    </dxf>
    <dxf>
      <fill>
        <patternFill patternType="solid">
          <fgColor rgb="00FCE4D6"/>
        </patternFill>
      </fill>
    </dxf>
    <dxf>
      <fill>
        <patternFill patternType="solid">
          <fgColor rgb="00F4CCCC"/>
        </patternFill>
      </fill>
    </dxf>
    <dxf>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Readiness by domain</a:t>
            </a:r>
          </a:p>
        </rich>
      </tx>
    </title>
    <plotArea>
      <barChart>
        <barDir val="bar"/>
        <grouping val="clustered"/>
        <ser>
          <idx val="0"/>
          <order val="0"/>
          <tx>
            <strRef>
              <f>'01_Dashboard'!B12</f>
            </strRef>
          </tx>
          <spPr>
            <a:ln xmlns:a="http://schemas.openxmlformats.org/drawingml/2006/main">
              <a:prstDash val="solid"/>
            </a:ln>
          </spPr>
          <cat>
            <numRef>
              <f>'01_Dashboard'!$A$13:$A$19</f>
            </numRef>
          </cat>
          <val>
            <numRef>
              <f>'01_Dashboard'!$B$13:$B$19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Score (0–4)</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Domain</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Action status</a:t>
            </a:r>
          </a:p>
        </rich>
      </tx>
    </title>
    <plotArea>
      <doughnutChart>
        <varyColors val="1"/>
        <ser>
          <idx val="0"/>
          <order val="0"/>
          <spPr>
            <a:ln xmlns:a="http://schemas.openxmlformats.org/drawingml/2006/main">
              <a:prstDash val="solid"/>
            </a:ln>
          </spPr>
          <cat>
            <numRef>
              <f>'01_Dashboard'!$P$5:$P$9</f>
            </numRef>
          </cat>
          <val>
            <numRef>
              <f>'01_Dashboard'!$Q$5:$Q$9</f>
            </numRef>
          </val>
        </ser>
        <firstSliceAng val="0"/>
        <holeSize val="55"/>
      </doughnutChart>
    </plotArea>
    <legend>
      <legendPos val="r"/>
    </legend>
    <plotVisOnly val="1"/>
    <dispBlanksAs val="gap"/>
  </chart>
</chartSpace>
</file>

<file path=xl/comments/comment1.xml><?xml version="1.0" encoding="utf-8"?>
<comments xmlns="http://schemas.openxmlformats.org/spreadsheetml/2006/main">
  <authors>
    <author>OpenAI</author>
  </authors>
  <commentList>
    <comment ref="B9" authorId="0" shapeId="0">
      <text>
        <t>Corpus-bounded statement: do not generalize beyond the final documented search.</t>
      </text>
    </comment>
  </commentList>
</comments>
</file>

<file path=xl/comments/comment2.xml><?xml version="1.0" encoding="utf-8"?>
<comments xmlns="http://schemas.openxmlformats.org/spreadsheetml/2006/main">
  <authors>
    <author>OpenAI</author>
  </authors>
  <commentList>
    <comment ref="A7" authorId="0" shapeId="0">
      <text>
        <t>Grades are based on the current manuscript / supplementary audit and must be independently verified against the full text of each study.</t>
      </text>
    </comment>
  </commentList>
</comments>
</file>

<file path=xl/comments/comment3.xml><?xml version="1.0" encoding="utf-8"?>
<comments xmlns="http://schemas.openxmlformats.org/spreadsheetml/2006/main">
  <authors>
    <author>OpenAI</author>
  </authors>
  <commentList>
    <comment ref="B10" authorId="0" shapeId="0">
      <text>
        <t>The 4+3 main visual structure is a conservative design choice, not a verified official TIFS numeric limit.</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9</col>
      <colOff>0</colOff>
      <row>10</row>
      <rowOff>0</rowOff>
    </from>
    <ext cx="360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17</row>
      <rowOff>0</rowOff>
    </from>
    <ext cx="288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DashboardDomains" displayName="DashboardDomains" ref="A12:H19" headerRowCount="1">
  <autoFilter ref="A12:H19"/>
  <tableColumns count="8">
    <tableColumn id="1" name="Domain"/>
    <tableColumn id="2" name="Score / 4"/>
    <tableColumn id="3" name="Readiness %"/>
    <tableColumn id="4" name="Open critical/high items"/>
    <tableColumn id="5" name="Linked sheet"/>
    <tableColumn id="6" name="Primary blocker"/>
    <tableColumn id="7" name="Owner"/>
    <tableColumn id="8" name="Status"/>
  </tableColumns>
  <tableStyleInfo name="TableStyleMedium2" showFirstColumn="0" showLastColumn="0" showRowStripes="1" showColumnStripes="0"/>
</table>
</file>

<file path=xl/tables/table2.xml><?xml version="1.0" encoding="utf-8"?>
<table xmlns="http://schemas.openxmlformats.org/spreadsheetml/2006/main" id="2" name="StoryAudit" displayName="StoryAudit" ref="A3:N20" headerRowCount="1">
  <autoFilter ref="A3:N20"/>
  <tableColumns count="14">
    <tableColumn id="1" name="ID"/>
    <tableColumn id="2" name="Audit item"/>
    <tableColumn id="3" name="Submission standard"/>
    <tableColumn id="4" name="Current manuscript evidence / formulation"/>
    <tableColumn id="5" name="Score (0–4)"/>
    <tableColumn id="6" name="Weight"/>
    <tableColumn id="7" name="Weighted score"/>
    <tableColumn id="8" name="Status"/>
    <tableColumn id="9" name="Priority"/>
    <tableColumn id="10" name="Required action"/>
    <tableColumn id="11" name="Owner"/>
    <tableColumn id="12" name="Due date"/>
    <tableColumn id="13" name="Source / location"/>
    <tableColumn id="14" name="Reviewer notes"/>
  </tableColumns>
  <tableStyleInfo name="TableStyleMedium2" showFirstColumn="0" showLastColumn="0" showRowStripes="1" showColumnStripes="0"/>
</table>
</file>

<file path=xl/tables/table3.xml><?xml version="1.0" encoding="utf-8"?>
<table xmlns="http://schemas.openxmlformats.org/spreadsheetml/2006/main" id="3" name="SectionAudit" displayName="SectionAudit" ref="A3:N17" headerRowCount="1">
  <autoFilter ref="A3:N17"/>
  <tableColumns count="14">
    <tableColumn id="1" name="Section"/>
    <tableColumn id="2" name="Primary job"/>
    <tableColumn id="3" name="Current strength"/>
    <tableColumn id="4" name="Principal weakness / risk"/>
    <tableColumn id="5" name="Evidence or completion needed"/>
    <tableColumn id="6" name="Current word count"/>
    <tableColumn id="7" name="Score (0–4)"/>
    <tableColumn id="8" name="Status"/>
    <tableColumn id="9" name="Priority"/>
    <tableColumn id="10" name="Required action"/>
    <tableColumn id="11" name="Owner"/>
    <tableColumn id="12" name="Due date"/>
    <tableColumn id="13" name="Source / page"/>
    <tableColumn id="14" name="Notes"/>
  </tableColumns>
  <tableStyleInfo name="TableStyleMedium2" showFirstColumn="0" showLastColumn="0" showRowStripes="1" showColumnStripes="0"/>
</table>
</file>

<file path=xl/tables/table4.xml><?xml version="1.0" encoding="utf-8"?>
<table xmlns="http://schemas.openxmlformats.org/spreadsheetml/2006/main" id="4" name="ClaimEvidence" displayName="ClaimEvidence" ref="A3:Q28" headerRowCount="1">
  <autoFilter ref="A3:Q28"/>
  <tableColumns count="17">
    <tableColumn id="1" name="Claim ID"/>
    <tableColumn id="2" name="Claim / sentence"/>
    <tableColumn id="3" name="Claim class"/>
    <tableColumn id="4" name="Importance"/>
    <tableColumn id="5" name="Evidence type"/>
    <tableColumn id="6" name="Supporting manuscript evidence"/>
    <tableColumn id="7" name="Key references"/>
    <tableColumn id="8" name="Support status"/>
    <tableColumn id="9" name="Overclaim risk"/>
    <tableColumn id="10" name="Corpus / scope boundary"/>
    <tableColumn id="11" name="Required qualifier or revised wording"/>
    <tableColumn id="12" name="Verification task"/>
    <tableColumn id="13" name="Owner"/>
    <tableColumn id="14" name="Status"/>
    <tableColumn id="15" name="Priority"/>
    <tableColumn id="16" name="Readiness score"/>
    <tableColumn id="17" name="Notes"/>
  </tableColumns>
  <tableStyleInfo name="TableStyleMedium2" showFirstColumn="0" showLastColumn="0" showRowStripes="1" showColumnStripes="0"/>
</table>
</file>

<file path=xl/tables/table5.xml><?xml version="1.0" encoding="utf-8"?>
<table xmlns="http://schemas.openxmlformats.org/spreadsheetml/2006/main" id="5" name="StudyComparison" displayName="StudyComparison" ref="A3:T10" headerRowCount="1">
  <autoFilter ref="A3:T10"/>
  <tableColumns count="20">
    <tableColumn id="1" name="Study ID"/>
    <tableColumn id="2" name="Full citation / DOI"/>
    <tableColumn id="3" name="Receiver / context"/>
    <tableColumn id="4" name="Research question"/>
    <tableColumn id="5" name="Assumed mechanism / theory"/>
    <tableColumn id="6" name="Reported source recipe"/>
    <tableColumn id="7" name="Sample / experimental unit"/>
    <tableColumn id="8" name="Treatment geometry / chamber"/>
    <tableColumn id="9" name="Physical exposure measurements"/>
    <tableColumn id="10" name="Environmental controls"/>
    <tableColumn id="11" name="Biological / quality measurements"/>
    <tableColumn id="12" name="Main reported finding"/>
    <tableColumn id="13" name="Statistical / replication notes"/>
    <tableColumn id="14" name="Agreement with lineage"/>
    <tableColumn id="15" name="Disagreement / novelty"/>
    <tableColumn id="16" name="Principal limitation"/>
    <tableColumn id="17" name="Contribution"/>
    <tableColumn id="18" name="Independent replication?"/>
    <tableColumn id="19" name="Full-text verified?"/>
    <tableColumn id="20" name="Audit notes"/>
  </tableColumns>
  <tableStyleInfo name="TableStyleMedium2" showFirstColumn="0" showLastColumn="0" showRowStripes="1" showColumnStripes="0"/>
</table>
</file>

<file path=xl/tables/table6.xml><?xml version="1.0" encoding="utf-8"?>
<table xmlns="http://schemas.openxmlformats.org/spreadsheetml/2006/main" id="6" name="EvidenceChain" displayName="EvidenceChain" ref="A7:O14" headerRowCount="1">
  <autoFilter ref="A7:O14"/>
  <tableColumns count="15">
    <tableColumn id="1" name="Study"/>
    <tableColumn id="2" name="Receiver system"/>
    <tableColumn id="3" name="Loaded field"/>
    <tableColumn id="4" name="Receiver motion"/>
    <tableColumn id="5" name="Support isolated"/>
    <tableColumn id="6" name="Thermal / gas sham"/>
    <tableColumn id="7" name="Fruit-level unit"/>
    <tableColumn id="8" name="Internal replication"/>
    <tableColumn id="9" name="External confirmation"/>
    <tableColumn id="10" name="Average grade"/>
    <tableColumn id="11" name="Grade-D count"/>
    <tableColumn id="12" name="Mechanistic closure"/>
    <tableColumn id="13" name="Overall interpretation"/>
    <tableColumn id="14" name="Source page / note"/>
    <tableColumn id="15" name="Reviewer note"/>
  </tableColumns>
  <tableStyleInfo name="TableStyleMedium2" showFirstColumn="0" showLastColumn="0" showRowStripes="1" showColumnStripes="0"/>
</table>
</file>

<file path=xl/tables/table7.xml><?xml version="1.0" encoding="utf-8"?>
<table xmlns="http://schemas.openxmlformats.org/spreadsheetml/2006/main" id="7" name="Contradictions" displayName="Contradictions" ref="A3:P10" headerRowCount="1">
  <autoFilter ref="A3:P10"/>
  <tableColumns count="16">
    <tableColumn id="1" name="ID"/>
    <tableColumn id="2" name="Apparent contradiction / claim"/>
    <tableColumn id="3" name="Literature clusters"/>
    <tableColumn id="4" name="Where evidence agrees"/>
    <tableColumn id="5" name="Where evidence differs"/>
    <tableColumn id="6" name="Hidden variable / rival explanation"/>
    <tableColumn id="7" name="Measurement required"/>
    <tableColumn id="8" name="Decisive experiment"/>
    <tableColumn id="9" name="Result supporting receiver-centred interpretation"/>
    <tableColumn id="10" name="Failure condition / next inference"/>
    <tableColumn id="11" name="Evidence class"/>
    <tableColumn id="12" name="Priority"/>
    <tableColumn id="13" name="Status"/>
    <tableColumn id="14" name="Owner"/>
    <tableColumn id="15" name="Due date"/>
    <tableColumn id="16" name="Notes"/>
  </tableColumns>
  <tableStyleInfo name="TableStyleMedium2" showFirstColumn="0" showLastColumn="0" showRowStripes="1" showColumnStripes="0"/>
</table>
</file>

<file path=xl/tables/table8.xml><?xml version="1.0" encoding="utf-8"?>
<table xmlns="http://schemas.openxmlformats.org/spreadsheetml/2006/main" id="8" name="GapInnovation" displayName="GapInnovation" ref="A3:W13" headerRowCount="1">
  <autoFilter ref="A3:W13"/>
  <tableColumns count="23">
    <tableColumn id="1" name="Gap ID"/>
    <tableColumn id="2" name="Precise gap"/>
    <tableColumn id="3" name="Explicit / inferred"/>
    <tableColumn id="4" name="Evidence it exists"/>
    <tableColumn id="5" name="Why it is ignored"/>
    <tableColumn id="6" name="Hidden variable / leverage point"/>
    <tableColumn id="7" name="Proposed experiment"/>
    <tableColumn id="8" name="Key measurements"/>
    <tableColumn id="9" name="Expected result"/>
    <tableColumn id="10" name="Failure condition"/>
    <tableColumn id="11" name="Impact if solved"/>
    <tableColumn id="12" name="Feasibility (1–5)"/>
    <tableColumn id="13" name="Novelty (1–5)"/>
    <tableColumn id="14" name="Citation utility (1–5)"/>
    <tableColumn id="15" name="Industrial value (1–5)"/>
    <tableColumn id="16" name="Risk (1–5)"/>
    <tableColumn id="17" name="Priority score"/>
    <tableColumn id="18" name="Priority"/>
    <tableColumn id="19" name="Status"/>
    <tableColumn id="20" name="Owner"/>
    <tableColumn id="21" name="Time horizon"/>
    <tableColumn id="22" name="Source"/>
    <tableColumn id="23" name="Notes"/>
  </tableColumns>
  <tableStyleInfo name="TableStyleMedium2" showFirstColumn="0" showLastColumn="0" showRowStripes="1" showColumnStripes="0"/>
</table>
</file>

<file path=xl/tables/table9.xml><?xml version="1.0" encoding="utf-8"?>
<table xmlns="http://schemas.openxmlformats.org/spreadsheetml/2006/main" id="9" name="FigureAudit" displayName="FigureAudit" ref="A3:S10" headerRowCount="1">
  <autoFilter ref="A3:S10"/>
  <tableColumns count="19">
    <tableColumn id="1" name="Figure ID"/>
    <tableColumn id="2" name="Declarative title"/>
    <tableColumn id="3" name="Scientific job"/>
    <tableColumn id="4" name="Unique field contribution"/>
    <tableColumn id="5" name="One-line message"/>
    <tableColumn id="6" name="Claims supported"/>
    <tableColumn id="7" name="Source data / verification required"/>
    <tableColumn id="8" name="Evidence versus hypothesis coding clear?"/>
    <tableColumn id="9" name="No duplication?"/>
    <tableColumn id="10" name="Technical accuracy"/>
    <tableColumn id="11" name="Readability at journal width"/>
    <tableColumn id="12" name="Reusable / citation utility"/>
    <tableColumn id="13" name="Caption self-contained?"/>
    <tableColumn id="14" name="Editable source available?"/>
    <tableColumn id="15" name="Current status"/>
    <tableColumn id="16" name="Priority"/>
    <tableColumn id="17" name="Required revision"/>
    <tableColumn id="18" name="Owner"/>
    <tableColumn id="19" name="Notes"/>
  </tableColumns>
  <tableStyleInfo name="TableStyleMedium2" showFirstColumn="0" showLastColumn="0" showRowStripes="1" showColumnStripes="0"/>
</table>
</file>

<file path=xl/tables/table10.xml><?xml version="1.0" encoding="utf-8"?>
<table xmlns="http://schemas.openxmlformats.org/spreadsheetml/2006/main" id="10" name="TableAudit" displayName="TableAudit" ref="A3:R11" headerRowCount="1">
  <autoFilter ref="A3:R11"/>
  <tableColumns count="18">
    <tableColumn id="1" name="Table ID"/>
    <tableColumn id="2" name="Title / role"/>
    <tableColumn id="3" name="Scientific job"/>
    <tableColumn id="4" name="Unique contribution"/>
    <tableColumn id="5" name="Required fields"/>
    <tableColumn id="6" name="Current completeness"/>
    <tableColumn id="7" name="Source verification"/>
    <tableColumn id="8" name="No duplication?"/>
    <tableColumn id="9" name="Readable / usable?"/>
    <tableColumn id="10" name="Status"/>
    <tableColumn id="11" name="Priority"/>
    <tableColumn id="12" name="Missing data / action"/>
    <tableColumn id="13" name="Owner"/>
    <tableColumn id="14" name="Due date"/>
    <tableColumn id="15" name="Main or supplement"/>
    <tableColumn id="16" name="Source file"/>
    <tableColumn id="17" name="Notes"/>
    <tableColumn id="18" name="Readiness score"/>
  </tableColumns>
  <tableStyleInfo name="TableStyleMedium2" showFirstColumn="0" showLastColumn="0" showRowStripes="1" showColumnStripes="0"/>
</table>
</file>

<file path=xl/tables/table11.xml><?xml version="1.0" encoding="utf-8"?>
<table xmlns="http://schemas.openxmlformats.org/spreadsheetml/2006/main" id="11" name="SupplementAudit" displayName="SupplementAudit" ref="A3:P10" headerRowCount="1">
  <autoFilter ref="A3:P10"/>
  <tableColumns count="16">
    <tableColumn id="1" name="Item"/>
    <tableColumn id="2" name="Purpose"/>
    <tableColumn id="3" name="Must contain"/>
    <tableColumn id="4" name="Current state"/>
    <tableColumn id="5" name="Blocking fields"/>
    <tableColumn id="6" name="Duplicates main paper?"/>
    <tableColumn id="7" name="Author input required?"/>
    <tableColumn id="8" name="Verification evidence"/>
    <tableColumn id="9" name="Status"/>
    <tableColumn id="10" name="Priority"/>
    <tableColumn id="11" name="Action"/>
    <tableColumn id="12" name="Owner"/>
    <tableColumn id="13" name="Due date"/>
    <tableColumn id="14" name="File / location"/>
    <tableColumn id="15" name="Notes"/>
    <tableColumn id="16" name="Readiness score"/>
  </tableColumns>
  <tableStyleInfo name="TableStyleMedium2" showFirstColumn="0" showLastColumn="0" showRowStripes="1" showColumnStripes="0"/>
</table>
</file>

<file path=xl/tables/table12.xml><?xml version="1.0" encoding="utf-8"?>
<table xmlns="http://schemas.openxmlformats.org/spreadsheetml/2006/main" id="12" name="ReferenceAudit" displayName="ReferenceAudit" ref="A3:Q130" headerRowCount="1">
  <autoFilter ref="A3:Q130"/>
  <tableColumns count="17">
    <tableColumn id="1" name="Ref #"/>
    <tableColumn id="2" name="Full citation"/>
    <tableColumn id="3" name="Year"/>
    <tableColumn id="4" name="Journal / source"/>
    <tableColumn id="5" name="DOI / URL"/>
    <tableColumn id="6" name="Evidence cluster"/>
    <tableColumn id="7" name="Source type"/>
    <tableColumn id="8" name="Current / recent?"/>
    <tableColumn id="9" name="Full text obtained?"/>
    <tableColumn id="10" name="Citation details verified?"/>
    <tableColumn id="11" name="Claim support checked?"/>
    <tableColumn id="12" name="Data extracted?"/>
    <tableColumn id="13" name="Primary claim(s) supported"/>
    <tableColumn id="14" name="Duplicate DOI?"/>
    <tableColumn id="15" name="Risk / issue"/>
    <tableColumn id="16" name="Priority"/>
    <tableColumn id="17" name="Status"/>
  </tableColumns>
  <tableStyleInfo name="TableStyleMedium2" showFirstColumn="0" showLastColumn="0" showRowStripes="1" showColumnStripes="0"/>
</table>
</file>

<file path=xl/tables/table13.xml><?xml version="1.0" encoding="utf-8"?>
<table xmlns="http://schemas.openxmlformats.org/spreadsheetml/2006/main" id="13" name="TIFSCompliance" displayName="TIFSCompliance" ref="A3:L25" headerRowCount="1">
  <autoFilter ref="A3:L25"/>
  <tableColumns count="12">
    <tableColumn id="1" name="ID"/>
    <tableColumn id="2" name="Requirement / check"/>
    <tableColumn id="3" name="Current manuscript state"/>
    <tableColumn id="4" name="Target / rule"/>
    <tableColumn id="5" name="Verification source"/>
    <tableColumn id="6" name="Compliant?"/>
    <tableColumn id="7" name="Status"/>
    <tableColumn id="8" name="Priority"/>
    <tableColumn id="9" name="Required action"/>
    <tableColumn id="10" name="Owner"/>
    <tableColumn id="11" name="Due date"/>
    <tableColumn id="12" name="Notes"/>
  </tableColumns>
  <tableStyleInfo name="TableStyleMedium2" showFirstColumn="0" showLastColumn="0" showRowStripes="1" showColumnStripes="0"/>
</table>
</file>

<file path=xl/tables/table14.xml><?xml version="1.0" encoding="utf-8"?>
<table xmlns="http://schemas.openxmlformats.org/spreadsheetml/2006/main" id="14" name="WritingSentences" displayName="WritingSentences" ref="A3:L357" headerRowCount="1">
  <autoFilter ref="A3:L357"/>
  <tableColumns count="12">
    <tableColumn id="1" name="Section"/>
    <tableColumn id="2" name="Paragraph #"/>
    <tableColumn id="3" name="Sentence #"/>
    <tableColumn id="4" name="Sentence"/>
    <tableColumn id="5" name="Word count"/>
    <tableColumn id="6" name="&gt;25 words?"/>
    <tableColumn id="7" name="Passive heuristic?"/>
    <tableColumn id="8" name="Nominalization count"/>
    <tableColumn id="9" name="Clutter phrase(s)"/>
    <tableColumn id="10" name="Recommended action"/>
    <tableColumn id="11" name="Reviewer status"/>
    <tableColumn id="12" name="Reviewer note"/>
  </tableColumns>
  <tableStyleInfo name="TableStyleMedium2" showFirstColumn="0" showLastColumn="0" showRowStripes="1" showColumnStripes="0"/>
</table>
</file>

<file path=xl/tables/table15.xml><?xml version="1.0" encoding="utf-8"?>
<table xmlns="http://schemas.openxmlformats.org/spreadsheetml/2006/main" id="15" name="WritingSummary" displayName="WritingSummary" ref="A3:M41" headerRowCount="1">
  <autoFilter ref="A3:M41"/>
  <tableColumns count="13">
    <tableColumn id="1" name="Section"/>
    <tableColumn id="2" name="Sentence count"/>
    <tableColumn id="3" name="Word count"/>
    <tableColumn id="4" name="Average words / sentence"/>
    <tableColumn id="5" name="Long sentences (&gt;25)"/>
    <tableColumn id="6" name="Long sentence %"/>
    <tableColumn id="7" name="Passive heuristic count"/>
    <tableColumn id="8" name="Passive %"/>
    <tableColumn id="9" name="Nominalizations"/>
    <tableColumn id="10" name="Clutter hits"/>
    <tableColumn id="11" name="Readability risk"/>
    <tableColumn id="12" name="Primary editing action"/>
    <tableColumn id="13" name="Status"/>
  </tableColumns>
  <tableStyleInfo name="TableStyleMedium2" showFirstColumn="0" showLastColumn="0" showRowStripes="1" showColumnStripes="0"/>
</table>
</file>

<file path=xl/tables/table16.xml><?xml version="1.0" encoding="utf-8"?>
<table xmlns="http://schemas.openxmlformats.org/spreadsheetml/2006/main" id="16" name="ActionPlan" displayName="ActionPlan" ref="A3:P17" headerRowCount="1">
  <autoFilter ref="A3:P17"/>
  <tableColumns count="16">
    <tableColumn id="1" name="Action ID"/>
    <tableColumn id="2" name="Category"/>
    <tableColumn id="3" name="Action"/>
    <tableColumn id="4" name="Why it matters"/>
    <tableColumn id="5" name="Dependency"/>
    <tableColumn id="6" name="Impact (1–5)"/>
    <tableColumn id="7" name="Effort (1–5)"/>
    <tableColumn id="8" name="Urgency (1–5)"/>
    <tableColumn id="9" name="Priority index"/>
    <tableColumn id="10" name="Priority"/>
    <tableColumn id="11" name="Owner"/>
    <tableColumn id="12" name="Status"/>
    <tableColumn id="13" name="Due date"/>
    <tableColumn id="14" name="Evidence of completion"/>
    <tableColumn id="15" name="Linked sheet / item"/>
    <tableColumn id="16" name="Notes"/>
  </tableColumns>
  <tableStyleInfo name="TableStyleMedium2" showFirstColumn="0" showLastColumn="0" showRowStripes="1" showColumnStripes="0"/>
</table>
</file>

<file path=xl/tables/table17.xml><?xml version="1.0" encoding="utf-8"?>
<table xmlns="http://schemas.openxmlformats.org/spreadsheetml/2006/main" id="17" name="DecisionLog" displayName="DecisionLog" ref="A3:L11" headerRowCount="1">
  <autoFilter ref="A3:L11"/>
  <tableColumns count="12">
    <tableColumn id="1" name="Decision ID"/>
    <tableColumn id="2" name="Decision"/>
    <tableColumn id="3" name="Rationale"/>
    <tableColumn id="4" name="Alternatives rejected"/>
    <tableColumn id="5" name="Scientific consequence"/>
    <tableColumn id="6" name="Date"/>
    <tableColumn id="7" name="Decision owner"/>
    <tableColumn id="8" name="Status"/>
    <tableColumn id="9" name="Revisit trigger"/>
    <tableColumn id="10" name="Linked section / figure"/>
    <tableColumn id="11" name="Notes"/>
    <tableColumn id="12" name="Approved b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Dashboard'!A1" TargetMode="External" Id="rId1"/><Relationship Type="http://schemas.openxmlformats.org/officeDocument/2006/relationships/hyperlink" Target="#'02_Story_Audit'!A1" TargetMode="External" Id="rId2"/><Relationship Type="http://schemas.openxmlformats.org/officeDocument/2006/relationships/hyperlink" Target="#'03_Section_Audit'!A1" TargetMode="External" Id="rId3"/><Relationship Type="http://schemas.openxmlformats.org/officeDocument/2006/relationships/hyperlink" Target="#'04_Claim_Evidence'!A1" TargetMode="External" Id="rId4"/><Relationship Type="http://schemas.openxmlformats.org/officeDocument/2006/relationships/hyperlink" Target="#'05_Study_Comparison'!A1" TargetMode="External" Id="rId5"/><Relationship Type="http://schemas.openxmlformats.org/officeDocument/2006/relationships/hyperlink" Target="#'06_Evidence_Chain'!A1" TargetMode="External" Id="rId6"/><Relationship Type="http://schemas.openxmlformats.org/officeDocument/2006/relationships/hyperlink" Target="#'07_Contradictions'!A1" TargetMode="External" Id="rId7"/><Relationship Type="http://schemas.openxmlformats.org/officeDocument/2006/relationships/hyperlink" Target="#'08_Gaps_Innovations'!A1" TargetMode="External" Id="rId8"/><Relationship Type="http://schemas.openxmlformats.org/officeDocument/2006/relationships/hyperlink" Target="#'09_Figure_Audit'!A1" TargetMode="External" Id="rId9"/><Relationship Type="http://schemas.openxmlformats.org/officeDocument/2006/relationships/hyperlink" Target="#'10_Table_Audit'!A1" TargetMode="External" Id="rId10"/><Relationship Type="http://schemas.openxmlformats.org/officeDocument/2006/relationships/hyperlink" Target="#'11_Supplement_Audit'!A1" TargetMode="External" Id="rId11"/><Relationship Type="http://schemas.openxmlformats.org/officeDocument/2006/relationships/hyperlink" Target="#'12_Reference_Audit'!A1" TargetMode="External" Id="rId12"/><Relationship Type="http://schemas.openxmlformats.org/officeDocument/2006/relationships/hyperlink" Target="#'13_TIFS_Compliance'!A1" TargetMode="External" Id="rId13"/><Relationship Type="http://schemas.openxmlformats.org/officeDocument/2006/relationships/hyperlink" Target="#'14_Writing_Summary'!A1" TargetMode="External" Id="rId14"/><Relationship Type="http://schemas.openxmlformats.org/officeDocument/2006/relationships/hyperlink" Target="#'15_Writing_Sentences'!A1" TargetMode="External" Id="rId15"/><Relationship Type="http://schemas.openxmlformats.org/officeDocument/2006/relationships/hyperlink" Target="#'16_Action_Plan'!A1" TargetMode="External" Id="rId16"/><Relationship Type="http://schemas.openxmlformats.org/officeDocument/2006/relationships/hyperlink" Target="#'17_Decision_Log'!A1" TargetMode="External" Id="rId17"/></Relationships>
</file>

<file path=xl/worksheets/_rels/sheet2.xml.rels><Relationships xmlns="http://schemas.openxmlformats.org/package/2006/relationships"><Relationship Type="http://schemas.openxmlformats.org/officeDocument/2006/relationships/hyperlink" Target="#'02_Story_Audit'!A1" TargetMode="External" Id="rId1"/><Relationship Type="http://schemas.openxmlformats.org/officeDocument/2006/relationships/hyperlink" Target="#'03_Section_Audit'!A1" TargetMode="External" Id="rId2"/><Relationship Type="http://schemas.openxmlformats.org/officeDocument/2006/relationships/hyperlink" Target="#'04_Claim_Evidence'!A1" TargetMode="External" Id="rId3"/><Relationship Type="http://schemas.openxmlformats.org/officeDocument/2006/relationships/hyperlink" Target="#'09_Figure_Audit'!A1" TargetMode="External" Id="rId4"/><Relationship Type="http://schemas.openxmlformats.org/officeDocument/2006/relationships/hyperlink" Target="#'10_Table_Audit'!A1" TargetMode="External" Id="rId5"/><Relationship Type="http://schemas.openxmlformats.org/officeDocument/2006/relationships/hyperlink" Target="#'12_Reference_Audit'!A1" TargetMode="External" Id="rId6"/><Relationship Type="http://schemas.openxmlformats.org/officeDocument/2006/relationships/hyperlink" Target="#'13_TIFS_Compliance'!A1" TargetMode="External" Id="rId7"/><Relationship Type="http://schemas.openxmlformats.org/officeDocument/2006/relationships/drawing" Target="/xl/drawings/drawing1.xml" Id="rId8"/><Relationship Type="http://schemas.openxmlformats.org/officeDocument/2006/relationships/table" Target="/xl/tables/table1.xml" Id="rId9"/></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_rels/sheet17.xml.rels><Relationships xmlns="http://schemas.openxmlformats.org/package/2006/relationships"><Relationship Type="http://schemas.openxmlformats.org/officeDocument/2006/relationships/table" Target="/xl/tables/table16.xml" Id="rId1"/></Relationships>
</file>

<file path=xl/worksheets/_rels/sheet18.xml.rels><Relationships xmlns="http://schemas.openxmlformats.org/package/2006/relationships"><Relationship Type="http://schemas.openxmlformats.org/officeDocument/2006/relationships/table" Target="/xl/tables/table17.xml" Id="rId1"/></Relationships>
</file>

<file path=xl/worksheets/sheet1.xml><?xml version="1.0" encoding="utf-8"?>
<worksheet xmlns="http://schemas.openxmlformats.org/spreadsheetml/2006/main">
  <sheetPr>
    <tabColor rgb="007F8C8D"/>
    <outlinePr summaryBelow="1" summaryRight="1"/>
    <pageSetUpPr fitToPage="1"/>
  </sheetPr>
  <dimension ref="A1:J46"/>
  <sheetViews>
    <sheetView showGridLines="0" zoomScale="90" workbookViewId="0">
      <pane ySplit="3" topLeftCell="A4" activePane="bottomLeft" state="frozen"/>
      <selection pane="bottomLeft" activeCell="A1" sqref="A1"/>
    </sheetView>
  </sheetViews>
  <sheetFormatPr baseColWidth="8" defaultRowHeight="15"/>
  <cols>
    <col width="34" customWidth="1" min="1" max="1"/>
    <col width="22" customWidth="1" min="2" max="2"/>
    <col width="22"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30" customHeight="1">
      <c r="A1" s="1" t="inlineStr">
        <is>
          <t>TIFS Critical Review — Detailed Audit Workbook</t>
        </is>
      </c>
    </row>
    <row r="2" ht="28" customHeight="1">
      <c r="A2" s="2" t="inlineStr">
        <is>
          <t>Prefilled from the current “From Sound to Shelf” manuscript and supplementary package. Blue-font cells are intended for author input; formula cells are black.</t>
        </is>
      </c>
    </row>
    <row r="4" ht="22" customHeight="1">
      <c r="A4" s="8" t="inlineStr">
        <is>
          <t>Purpose and use</t>
        </is>
      </c>
    </row>
    <row r="5">
      <c r="A5" s="4" t="inlineStr">
        <is>
          <t>Workbook purpose</t>
        </is>
      </c>
      <c r="B5" s="13" t="inlineStr">
        <is>
          <t>Audit scientific logic, evidence support, review-method integrity, writing quality, visuals, references and TIFS submission readiness.</t>
        </is>
      </c>
    </row>
    <row r="6">
      <c r="A6" s="4" t="inlineStr">
        <is>
          <t>Central paper idea</t>
        </is>
      </c>
      <c r="B6" s="13" t="inlineStr">
        <is>
          <t>A transferable acoustic process must be defined by the exposure received by the fruit—not by repeated source settings.</t>
        </is>
      </c>
    </row>
    <row r="7">
      <c r="A7" s="4" t="inlineStr">
        <is>
          <t>Source files</t>
        </is>
      </c>
      <c r="B7" s="13" t="inlineStr">
        <is>
          <t>From_Sound_to_Shelf_TIFS_Critical_Review_Rewritten.docx; From_Sound_to_Shelf_TIFS_Supplementary_Material.docx; How-to-write-a-great-research-paper PDF; scientific-writing guidance documents.</t>
        </is>
      </c>
    </row>
    <row r="8">
      <c r="A8" s="4" t="inlineStr">
        <is>
          <t>Evidence boundary</t>
        </is>
      </c>
      <c r="B8" s="13" t="inlineStr">
        <is>
          <t>No missing sample sizes, screening counts, effect sizes or experimental results were invented. Unverified fields are marked for completion.</t>
        </is>
      </c>
    </row>
    <row r="9">
      <c r="A9" s="4" t="inlineStr">
        <is>
          <t>Recommended workflow</t>
        </is>
      </c>
      <c r="B9" s="13" t="inlineStr">
        <is>
          <t>1) Start on Dashboard; 2) resolve Critical actions; 3) verify Claim–Evidence ledger; 4) finish search / reference audit; 5) close figure and table actions; 6) rerun writing audit; 7) complete TIFS compliance.</t>
        </is>
      </c>
    </row>
    <row r="11" ht="22" customHeight="1">
      <c r="A11" s="8" t="inlineStr">
        <is>
          <t>Scoring scale</t>
        </is>
      </c>
    </row>
    <row r="12">
      <c r="A12" s="9" t="inlineStr">
        <is>
          <t>Score</t>
        </is>
      </c>
      <c r="B12" s="9" t="inlineStr">
        <is>
          <t>Meaning</t>
        </is>
      </c>
      <c r="C12" s="9" t="inlineStr">
        <is>
          <t>Operational definition</t>
        </is>
      </c>
    </row>
    <row r="13">
      <c r="A13" s="10" t="n">
        <v>0</v>
      </c>
      <c r="B13" s="10" t="inlineStr">
        <is>
          <t>Missing / unsupported</t>
        </is>
      </c>
      <c r="C13" s="10" t="inlineStr">
        <is>
          <t>Required element absent or claim unsupported.</t>
        </is>
      </c>
    </row>
    <row r="14">
      <c r="A14" s="10" t="n">
        <v>1</v>
      </c>
      <c r="B14" s="10" t="inlineStr">
        <is>
          <t>Weak</t>
        </is>
      </c>
      <c r="C14" s="10" t="inlineStr">
        <is>
          <t>Present but materially inadequate or contradicted.</t>
        </is>
      </c>
    </row>
    <row r="15">
      <c r="A15" s="10" t="n">
        <v>2</v>
      </c>
      <c r="B15" s="10" t="inlineStr">
        <is>
          <t>Partial</t>
        </is>
      </c>
      <c r="C15" s="10" t="inlineStr">
        <is>
          <t>Useful foundation; important verification or revision remains.</t>
        </is>
      </c>
    </row>
    <row r="16">
      <c r="A16" s="10" t="n">
        <v>3</v>
      </c>
      <c r="B16" s="10" t="inlineStr">
        <is>
          <t>Strong</t>
        </is>
      </c>
      <c r="C16" s="10" t="inlineStr">
        <is>
          <t>Scientifically defensible; minor refinement remains.</t>
        </is>
      </c>
    </row>
    <row r="17">
      <c r="A17" s="10" t="n">
        <v>4</v>
      </c>
      <c r="B17" s="10" t="inlineStr">
        <is>
          <t>Submission-ready</t>
        </is>
      </c>
      <c r="C17" s="10" t="inlineStr">
        <is>
          <t>Complete, verified, reproducible and internally consistent.</t>
        </is>
      </c>
    </row>
    <row r="19" ht="22" customHeight="1">
      <c r="A19" s="8" t="inlineStr">
        <is>
          <t>Colour and cell conventions</t>
        </is>
      </c>
    </row>
    <row r="20">
      <c r="A20" s="14" t="inlineStr">
        <is>
          <t>Blue font / pale yellow fill</t>
        </is>
      </c>
      <c r="B20" s="15" t="inlineStr">
        <is>
          <t>Author input or field that must be completed from records.</t>
        </is>
      </c>
    </row>
    <row r="21">
      <c r="A21" s="16" t="inlineStr">
        <is>
          <t>Green font</t>
        </is>
      </c>
      <c r="B21" s="15" t="inlineStr">
        <is>
          <t>Imported or source-derived content.</t>
        </is>
      </c>
    </row>
    <row r="22">
      <c r="A22" s="17" t="inlineStr">
        <is>
          <t>Black font</t>
        </is>
      </c>
      <c r="B22" s="15" t="inlineStr">
        <is>
          <t>Formula, derived result or completed audit judgement.</t>
        </is>
      </c>
    </row>
    <row r="23">
      <c r="A23" s="18" t="inlineStr">
        <is>
          <t>Orange fill</t>
        </is>
      </c>
      <c r="B23" s="15" t="inlineStr">
        <is>
          <t>Caution / revision needed.</t>
        </is>
      </c>
    </row>
    <row r="24">
      <c r="A24" s="19" t="inlineStr">
        <is>
          <t>Light red fill</t>
        </is>
      </c>
      <c r="B24" s="15" t="inlineStr">
        <is>
          <t>Critical error, unsupported claim or blocking issue.</t>
        </is>
      </c>
    </row>
    <row r="25">
      <c r="A25" s="20" t="inlineStr">
        <is>
          <t>Purple fill</t>
        </is>
      </c>
      <c r="B25" s="15" t="inlineStr">
        <is>
          <t>Control logic, criteria or decision rule.</t>
        </is>
      </c>
    </row>
    <row r="26">
      <c r="A26" s="21" t="inlineStr">
        <is>
          <t>Teal fill</t>
        </is>
      </c>
      <c r="B26" s="15" t="inlineStr">
        <is>
          <t>Key scientific KPI, framework element or visualization anchor.</t>
        </is>
      </c>
    </row>
    <row r="29" ht="22" customHeight="1">
      <c r="A29" s="8" t="inlineStr">
        <is>
          <t>Sheet map</t>
        </is>
      </c>
    </row>
    <row r="30">
      <c r="A30" s="22" t="inlineStr">
        <is>
          <t>01_Dashboard</t>
        </is>
      </c>
      <c r="B30" s="15" t="inlineStr">
        <is>
          <t>Submission-readiness KPIs and blocking issues.</t>
        </is>
      </c>
    </row>
    <row r="31">
      <c r="A31" s="22" t="inlineStr">
        <is>
          <t>02_Story_Audit</t>
        </is>
      </c>
      <c r="B31" s="15" t="inlineStr">
        <is>
          <t>One-line problem, one ping, title, novelty, contribution and scope audit.</t>
        </is>
      </c>
    </row>
    <row r="32">
      <c r="A32" s="22" t="inlineStr">
        <is>
          <t>03_Section_Audit</t>
        </is>
      </c>
      <c r="B32" s="15" t="inlineStr">
        <is>
          <t>Section-by-section function, strengths, gaps and actions.</t>
        </is>
      </c>
    </row>
    <row r="33">
      <c r="A33" s="22" t="inlineStr">
        <is>
          <t>04_Claim_Evidence</t>
        </is>
      </c>
      <c r="B33" s="15" t="inlineStr">
        <is>
          <t>Claim-to-evidence ledger with overclaim and qualifier controls.</t>
        </is>
      </c>
    </row>
    <row r="34">
      <c r="A34" s="22" t="inlineStr">
        <is>
          <t>05_Study_Comparison</t>
        </is>
      </c>
      <c r="B34" s="15" t="inlineStr">
        <is>
          <t>Detailed seven-study comparison matrix.</t>
        </is>
      </c>
    </row>
    <row r="35">
      <c r="A35" s="22" t="inlineStr">
        <is>
          <t>06_Evidence_Chain</t>
        </is>
      </c>
      <c r="B35" s="15" t="inlineStr">
        <is>
          <t>A–D causal-link heatmap and domain summaries.</t>
        </is>
      </c>
    </row>
    <row r="36">
      <c r="A36" s="22" t="inlineStr">
        <is>
          <t>07_Contradictions</t>
        </is>
      </c>
      <c r="B36" s="15" t="inlineStr">
        <is>
          <t>Contradictions, hidden variables and decisive tests.</t>
        </is>
      </c>
    </row>
    <row r="37">
      <c r="A37" s="22" t="inlineStr">
        <is>
          <t>08_Gaps_Innovations</t>
        </is>
      </c>
      <c r="B37" s="15" t="inlineStr">
        <is>
          <t>High-value gaps, experiments, impact and prioritization.</t>
        </is>
      </c>
    </row>
    <row r="38">
      <c r="A38" s="22" t="inlineStr">
        <is>
          <t>09_Figure_Audit</t>
        </is>
      </c>
      <c r="B38" s="15" t="inlineStr">
        <is>
          <t>Graphical abstract, main and supplementary figure audit.</t>
        </is>
      </c>
    </row>
    <row r="39">
      <c r="A39" s="22" t="inlineStr">
        <is>
          <t>10_Table_Audit</t>
        </is>
      </c>
      <c r="B39" s="15" t="inlineStr">
        <is>
          <t>Main and supplementary table audit.</t>
        </is>
      </c>
    </row>
    <row r="40">
      <c r="A40" s="22" t="inlineStr">
        <is>
          <t>11_Supplement_Audit</t>
        </is>
      </c>
      <c r="B40" s="15" t="inlineStr">
        <is>
          <t>Supplementary package completeness and non-duplication audit.</t>
        </is>
      </c>
    </row>
    <row r="41">
      <c r="A41" s="22" t="inlineStr">
        <is>
          <t>12_Reference_Audit</t>
        </is>
      </c>
      <c r="B41" s="15" t="inlineStr">
        <is>
          <t>All references with verification and claim-support fields.</t>
        </is>
      </c>
    </row>
    <row r="42">
      <c r="A42" s="22" t="inlineStr">
        <is>
          <t>13_TIFS_Compliance</t>
        </is>
      </c>
      <c r="B42" s="15" t="inlineStr">
        <is>
          <t>Journal-package and submission-requirement audit.</t>
        </is>
      </c>
    </row>
    <row r="43">
      <c r="A43" s="22" t="inlineStr">
        <is>
          <t>14_Writing_Summary</t>
        </is>
      </c>
      <c r="B43" s="15" t="inlineStr">
        <is>
          <t>Section-level readability metrics.</t>
        </is>
      </c>
    </row>
    <row r="44">
      <c r="A44" s="22" t="inlineStr">
        <is>
          <t>15_Writing_Sentences</t>
        </is>
      </c>
      <c r="B44" s="15" t="inlineStr">
        <is>
          <t>Sentence-level clarity, length, passive voice and clutter audit.</t>
        </is>
      </c>
    </row>
    <row r="45">
      <c r="A45" s="22" t="inlineStr">
        <is>
          <t>16_Action_Plan</t>
        </is>
      </c>
      <c r="B45" s="15" t="inlineStr">
        <is>
          <t>Prioritized execution plan with ownership and due dates.</t>
        </is>
      </c>
    </row>
    <row r="46">
      <c r="A46" s="22" t="inlineStr">
        <is>
          <t>17_Decision_Log</t>
        </is>
      </c>
      <c r="B46" s="15" t="inlineStr">
        <is>
          <t>Scope and positioning decisions for co-author alignment.</t>
        </is>
      </c>
    </row>
  </sheetData>
  <mergeCells count="35">
    <mergeCell ref="B42:J42"/>
    <mergeCell ref="B23:J23"/>
    <mergeCell ref="A29:J29"/>
    <mergeCell ref="A4:J4"/>
    <mergeCell ref="B8:J8"/>
    <mergeCell ref="B38:J38"/>
    <mergeCell ref="B44:J44"/>
    <mergeCell ref="A19:J19"/>
    <mergeCell ref="B34:J34"/>
    <mergeCell ref="B37:J37"/>
    <mergeCell ref="B40:J40"/>
    <mergeCell ref="B9:J9"/>
    <mergeCell ref="B6:J6"/>
    <mergeCell ref="B24:J24"/>
    <mergeCell ref="B30:J30"/>
    <mergeCell ref="A11:J11"/>
    <mergeCell ref="B33:J33"/>
    <mergeCell ref="A1:J1"/>
    <mergeCell ref="B5:J5"/>
    <mergeCell ref="B20:J20"/>
    <mergeCell ref="B45:J45"/>
    <mergeCell ref="B36:J36"/>
    <mergeCell ref="B32:J32"/>
    <mergeCell ref="B26:J26"/>
    <mergeCell ref="B41:J41"/>
    <mergeCell ref="B35:J35"/>
    <mergeCell ref="B7:J7"/>
    <mergeCell ref="B25:J25"/>
    <mergeCell ref="B46:J46"/>
    <mergeCell ref="B22:J22"/>
    <mergeCell ref="B31:J31"/>
    <mergeCell ref="A2:J2"/>
    <mergeCell ref="B43:J43"/>
    <mergeCell ref="B39:J39"/>
    <mergeCell ref="B21:J21"/>
  </mergeCells>
  <hyperlinks>
    <hyperlink xmlns:r="http://schemas.openxmlformats.org/officeDocument/2006/relationships" ref="A30" r:id="rId1"/>
    <hyperlink xmlns:r="http://schemas.openxmlformats.org/officeDocument/2006/relationships" ref="A31" r:id="rId2"/>
    <hyperlink xmlns:r="http://schemas.openxmlformats.org/officeDocument/2006/relationships" ref="A32" r:id="rId3"/>
    <hyperlink xmlns:r="http://schemas.openxmlformats.org/officeDocument/2006/relationships" ref="A33" r:id="rId4"/>
    <hyperlink xmlns:r="http://schemas.openxmlformats.org/officeDocument/2006/relationships" ref="A34" r:id="rId5"/>
    <hyperlink xmlns:r="http://schemas.openxmlformats.org/officeDocument/2006/relationships" ref="A35" r:id="rId6"/>
    <hyperlink xmlns:r="http://schemas.openxmlformats.org/officeDocument/2006/relationships" ref="A36" r:id="rId7"/>
    <hyperlink xmlns:r="http://schemas.openxmlformats.org/officeDocument/2006/relationships" ref="A37" r:id="rId8"/>
    <hyperlink xmlns:r="http://schemas.openxmlformats.org/officeDocument/2006/relationships" ref="A38" r:id="rId9"/>
    <hyperlink xmlns:r="http://schemas.openxmlformats.org/officeDocument/2006/relationships" ref="A39" r:id="rId10"/>
    <hyperlink xmlns:r="http://schemas.openxmlformats.org/officeDocument/2006/relationships" ref="A40" r:id="rId11"/>
    <hyperlink xmlns:r="http://schemas.openxmlformats.org/officeDocument/2006/relationships" ref="A41" r:id="rId12"/>
    <hyperlink xmlns:r="http://schemas.openxmlformats.org/officeDocument/2006/relationships" ref="A42" r:id="rId13"/>
    <hyperlink xmlns:r="http://schemas.openxmlformats.org/officeDocument/2006/relationships" ref="A43" r:id="rId14"/>
    <hyperlink xmlns:r="http://schemas.openxmlformats.org/officeDocument/2006/relationships" ref="A44" r:id="rId15"/>
    <hyperlink xmlns:r="http://schemas.openxmlformats.org/officeDocument/2006/relationships" ref="A45" r:id="rId16"/>
    <hyperlink xmlns:r="http://schemas.openxmlformats.org/officeDocument/2006/relationships" ref="A46" r:id="rId17"/>
  </hyperlinks>
  <pageMargins left="0.25" right="0.25" top="0.4" bottom="0.4" header="0.5" footer="0.5"/>
  <pageSetup orientation="landscape" fitToHeight="0" fitToWidth="1"/>
</worksheet>
</file>

<file path=xl/worksheets/sheet2.xml><?xml version="1.0" encoding="utf-8"?>
<worksheet xmlns="http://schemas.openxmlformats.org/spreadsheetml/2006/main">
  <sheetPr>
    <tabColor rgb="0000A6A6"/>
    <outlinePr summaryBelow="1" summaryRight="1"/>
    <pageSetUpPr fitToPage="1"/>
  </sheetPr>
  <dimension ref="A1:Q33"/>
  <sheetViews>
    <sheetView showGridLines="0" zoomScale="90" workbookViewId="0">
      <pane ySplit="3" topLeftCell="A4" activePane="bottomLeft" state="frozen"/>
      <selection pane="bottomLeft" activeCell="A1" sqref="A1"/>
    </sheetView>
  </sheetViews>
  <sheetFormatPr baseColWidth="8" defaultRowHeight="15"/>
  <cols>
    <col width="24" customWidth="1" min="1" max="1"/>
    <col width="18" customWidth="1" min="2" max="2"/>
    <col width="18" customWidth="1" min="3" max="3"/>
    <col width="20" customWidth="1" min="4" max="4"/>
    <col width="26" customWidth="1" min="5" max="5"/>
    <col width="28" customWidth="1" min="6" max="6"/>
    <col width="15" customWidth="1" min="7" max="7"/>
    <col width="18" customWidth="1" min="8" max="8"/>
    <col width="4" customWidth="1" min="9" max="9"/>
    <col width="22" customWidth="1" min="10" max="10"/>
    <col width="15" customWidth="1" min="11" max="11"/>
    <col width="15" customWidth="1" min="12" max="12"/>
    <col width="15" customWidth="1" min="13" max="13"/>
    <col width="15" customWidth="1" min="14" max="14"/>
    <col hidden="1" width="13" customWidth="1" min="16" max="16"/>
    <col hidden="1" width="13" customWidth="1" min="17" max="17"/>
  </cols>
  <sheetData>
    <row r="1" ht="30" customHeight="1">
      <c r="A1" s="1" t="inlineStr">
        <is>
          <t>TIFS Critical Review Audit Dashboard</t>
        </is>
      </c>
    </row>
    <row r="2" ht="28" customHeight="1">
      <c r="A2" s="2" t="inlineStr">
        <is>
          <t>Overall readiness reflects scientific integrity, evidence verification, visual package, writing quality and submission compliance.</t>
        </is>
      </c>
    </row>
    <row r="4">
      <c r="A4" s="3" t="inlineStr">
        <is>
          <t>Overall readiness</t>
        </is>
      </c>
      <c r="E4" s="3" t="inlineStr">
        <is>
          <t>Critical open actions</t>
        </is>
      </c>
      <c r="I4" s="3" t="inlineStr">
        <is>
          <t>Claims needing verification</t>
        </is>
      </c>
      <c r="P4" s="4" t="inlineStr">
        <is>
          <t>Action status</t>
        </is>
      </c>
    </row>
    <row r="5">
      <c r="A5" s="5">
        <f>AVERAGE(C13:C19)</f>
        <v/>
      </c>
      <c r="E5" s="6">
        <f>COUNTIFS('16_Action_Plan'!J4:J17,"Critical",'16_Action_Plan'!L4:L17,"&lt;&gt;Complete")</f>
        <v/>
      </c>
      <c r="I5" s="6">
        <f>COUNTIF('04_Claim_Evidence'!N4:N28,"Needs verification")</f>
        <v/>
      </c>
      <c r="P5" t="inlineStr">
        <is>
          <t>Not started</t>
        </is>
      </c>
      <c r="Q5" s="7">
        <f>COUNTIF('16_Action_Plan'!$L$4:$L$17,P5)</f>
        <v/>
      </c>
    </row>
    <row r="6">
      <c r="P6" t="inlineStr">
        <is>
          <t>In progress</t>
        </is>
      </c>
      <c r="Q6" s="7">
        <f>COUNTIF('16_Action_Plan'!$L$4:$L$17,P6)</f>
        <v/>
      </c>
    </row>
    <row r="7">
      <c r="A7" s="3" t="inlineStr">
        <is>
          <t>References not verified</t>
        </is>
      </c>
      <c r="E7" s="3" t="inlineStr">
        <is>
          <t>Evidence Grade-D cells</t>
        </is>
      </c>
      <c r="I7" s="3" t="inlineStr">
        <is>
          <t>TIFS compliance blockers</t>
        </is>
      </c>
      <c r="P7" t="inlineStr">
        <is>
          <t>Needs verification</t>
        </is>
      </c>
      <c r="Q7" s="7">
        <f>COUNTIF('16_Action_Plan'!$L$4:$L$17,P7)</f>
        <v/>
      </c>
    </row>
    <row r="8">
      <c r="A8" s="6">
        <f>COUNTIF('12_Reference_Audit'!Q4:Q130,"Needs verification")</f>
        <v/>
      </c>
      <c r="E8" s="6">
        <f>COUNTIF('06_Evidence_Chain'!C8:I14,"D")</f>
        <v/>
      </c>
      <c r="I8" s="6">
        <f>COUNTIFS('13_TIFS_Compliance'!H4:H25,"Critical",'13_TIFS_Compliance'!G4:G25,"&lt;&gt;Complete")</f>
        <v/>
      </c>
      <c r="P8" t="inlineStr">
        <is>
          <t>Needs revision</t>
        </is>
      </c>
      <c r="Q8" s="7">
        <f>COUNTIF('16_Action_Plan'!$L$4:$L$17,P8)</f>
        <v/>
      </c>
    </row>
    <row r="9">
      <c r="P9" t="inlineStr">
        <is>
          <t>Complete</t>
        </is>
      </c>
      <c r="Q9" s="7">
        <f>COUNTIF('16_Action_Plan'!$L$4:$L$17,P9)</f>
        <v/>
      </c>
    </row>
    <row r="11" ht="22" customHeight="1">
      <c r="A11" s="8" t="inlineStr">
        <is>
          <t>Readiness by audit domain</t>
        </is>
      </c>
    </row>
    <row r="12">
      <c r="A12" s="9" t="inlineStr">
        <is>
          <t>Domain</t>
        </is>
      </c>
      <c r="B12" s="9" t="inlineStr">
        <is>
          <t>Score / 4</t>
        </is>
      </c>
      <c r="C12" s="9" t="inlineStr">
        <is>
          <t>Readiness %</t>
        </is>
      </c>
      <c r="D12" s="9" t="inlineStr">
        <is>
          <t>Open critical/high items</t>
        </is>
      </c>
      <c r="E12" s="9" t="inlineStr">
        <is>
          <t>Linked sheet</t>
        </is>
      </c>
      <c r="F12" s="9" t="inlineStr">
        <is>
          <t>Primary blocker</t>
        </is>
      </c>
      <c r="G12" s="9" t="inlineStr">
        <is>
          <t>Owner</t>
        </is>
      </c>
      <c r="H12" s="9" t="inlineStr">
        <is>
          <t>Status</t>
        </is>
      </c>
    </row>
    <row r="13">
      <c r="A13" s="10" t="inlineStr">
        <is>
          <t>Story / positioning</t>
        </is>
      </c>
      <c r="B13" s="10">
        <f>ROUND(AVERAGE('02_Story_Audit'!E4:E20),2)</f>
        <v/>
      </c>
      <c r="C13" s="11">
        <f>'02_Story_Audit'!B22/100</f>
        <v/>
      </c>
      <c r="D13" s="10">
        <f>COUNTIFS('02_Story_Audit'!I4:I20,"Critical",'02_Story_Audit'!H4:H20,"&lt;&gt;Complete")+COUNTIFS('02_Story_Audit'!I4:I20,"High",'02_Story_Audit'!H4:H20,"&lt;&gt;Complete")</f>
        <v/>
      </c>
      <c r="E13" s="12" t="inlineStr">
        <is>
          <t>02_Story_Audit</t>
        </is>
      </c>
      <c r="F13" s="10" t="inlineStr">
        <is>
          <t>Search reproducibility and novelty comparison</t>
        </is>
      </c>
      <c r="G13" s="10" t="inlineStr"/>
      <c r="H13" s="10" t="inlineStr">
        <is>
          <t>In progress</t>
        </is>
      </c>
    </row>
    <row r="14">
      <c r="A14" s="10" t="inlineStr">
        <is>
          <t>Section completeness</t>
        </is>
      </c>
      <c r="B14" s="10">
        <f>ROUND(AVERAGE('03_Section_Audit'!G4:G16),2)</f>
        <v/>
      </c>
      <c r="C14" s="11">
        <f>B14/4</f>
        <v/>
      </c>
      <c r="D14" s="10">
        <f>COUNTIFS('03_Section_Audit'!I4:I16,"Critical",'03_Section_Audit'!H4:H16,"&lt;&gt;Complete")+COUNTIFS('03_Section_Audit'!I4:I16,"High",'03_Section_Audit'!H4:H16,"&lt;&gt;Complete")</f>
        <v/>
      </c>
      <c r="E14" s="12" t="inlineStr">
        <is>
          <t>03_Section_Audit</t>
        </is>
      </c>
      <c r="F14" s="10" t="inlineStr">
        <is>
          <t>Method, references and declarations</t>
        </is>
      </c>
      <c r="G14" s="10" t="inlineStr"/>
      <c r="H14" s="10" t="inlineStr">
        <is>
          <t>In progress</t>
        </is>
      </c>
    </row>
    <row r="15">
      <c r="A15" s="10" t="inlineStr">
        <is>
          <t>Claim support</t>
        </is>
      </c>
      <c r="B15" s="10">
        <f>ROUND(AVERAGE('04_Claim_Evidence'!P4:P28),2)</f>
        <v/>
      </c>
      <c r="C15" s="11">
        <f>B15/4</f>
        <v/>
      </c>
      <c r="D15" s="10">
        <f>COUNTIFS('04_Claim_Evidence'!O4:O28,"Critical",'04_Claim_Evidence'!N4:N28,"&lt;&gt;Complete")+COUNTIFS('04_Claim_Evidence'!O4:O28,"High",'04_Claim_Evidence'!N4:N28,"&lt;&gt;Complete")</f>
        <v/>
      </c>
      <c r="E15" s="12" t="inlineStr">
        <is>
          <t>04_Claim_Evidence</t>
        </is>
      </c>
      <c r="F15" s="10" t="inlineStr">
        <is>
          <t>Corpus-bounded findings and overclaim control</t>
        </is>
      </c>
      <c r="G15" s="10" t="inlineStr"/>
      <c r="H15" s="10" t="inlineStr">
        <is>
          <t>In progress</t>
        </is>
      </c>
    </row>
    <row r="16">
      <c r="A16" s="10" t="inlineStr">
        <is>
          <t>Figures</t>
        </is>
      </c>
      <c r="B16" s="10">
        <f>ROUND(AVERAGE('09_Figure_Audit'!J4:L10),2)</f>
        <v/>
      </c>
      <c r="C16" s="11">
        <f>B16/4</f>
        <v/>
      </c>
      <c r="D16" s="10">
        <f>COUNTIFS('09_Figure_Audit'!P4:P10,"Critical",'09_Figure_Audit'!O4:O10,"&lt;&gt;Complete")+COUNTIFS('09_Figure_Audit'!P4:P10,"High",'09_Figure_Audit'!O4:O10,"&lt;&gt;Complete")</f>
        <v/>
      </c>
      <c r="E16" s="12" t="inlineStr">
        <is>
          <t>09_Figure_Audit</t>
        </is>
      </c>
      <c r="F16" s="10" t="inlineStr">
        <is>
          <t>Figure 3 depends on verified evidence coding</t>
        </is>
      </c>
      <c r="G16" s="10" t="inlineStr"/>
      <c r="H16" s="10" t="inlineStr">
        <is>
          <t>In progress</t>
        </is>
      </c>
    </row>
    <row r="17">
      <c r="A17" s="10" t="inlineStr">
        <is>
          <t>Tables / supplement</t>
        </is>
      </c>
      <c r="B17" s="10">
        <f>ROUND(AVERAGE('10_Table_Audit'!R4:R11),2)</f>
        <v/>
      </c>
      <c r="C17" s="11">
        <f>B17/4</f>
        <v/>
      </c>
      <c r="D17" s="10">
        <f>COUNTIFS('10_Table_Audit'!K4:K11,"Critical",'10_Table_Audit'!J4:J11,"&lt;&gt;Complete")+COUNTIFS('11_Supplement_Audit'!J4:J10,"Critical",'11_Supplement_Audit'!I4:I10,"&lt;&gt;Complete")</f>
        <v/>
      </c>
      <c r="E17" s="12" t="inlineStr">
        <is>
          <t>10_Table_Audit</t>
        </is>
      </c>
      <c r="F17" s="10" t="inlineStr">
        <is>
          <t>S1–S3 and S5 incomplete</t>
        </is>
      </c>
      <c r="G17" s="10" t="inlineStr"/>
      <c r="H17" s="10" t="inlineStr">
        <is>
          <t>In progress</t>
        </is>
      </c>
    </row>
    <row r="18">
      <c r="A18" s="10" t="inlineStr">
        <is>
          <t>References</t>
        </is>
      </c>
      <c r="B18" s="10">
        <f>IFERROR((COUNTIF('12_Reference_Audit'!Q4:Q130,"Complete")/COUNTA('12_Reference_Audit'!A4:A130))*4,0)</f>
        <v/>
      </c>
      <c r="C18" s="11">
        <f>B18/4</f>
        <v/>
      </c>
      <c r="D18" s="10">
        <f>COUNTIFS('12_Reference_Audit'!P4:P130,"High",'12_Reference_Audit'!Q4:Q130,"&lt;&gt;Complete")</f>
        <v/>
      </c>
      <c r="E18" s="12" t="inlineStr">
        <is>
          <t>12_Reference_Audit</t>
        </is>
      </c>
      <c r="F18" s="10" t="inlineStr">
        <is>
          <t>Source-level verification pending</t>
        </is>
      </c>
      <c r="G18" s="10" t="inlineStr"/>
      <c r="H18" s="10" t="inlineStr">
        <is>
          <t>Not started</t>
        </is>
      </c>
    </row>
    <row r="19">
      <c r="A19" s="10" t="inlineStr">
        <is>
          <t>TIFS compliance</t>
        </is>
      </c>
      <c r="B19" s="10">
        <f>IFERROR((COUNTIF('13_TIFS_Compliance'!F4:F25,"Yes")/COUNTA('13_TIFS_Compliance'!A4:A25))*4,0)</f>
        <v/>
      </c>
      <c r="C19" s="11">
        <f>B19/4</f>
        <v/>
      </c>
      <c r="D19" s="10">
        <f>COUNTIFS('13_TIFS_Compliance'!H4:H25,"Critical",'13_TIFS_Compliance'!G4:G25,"&lt;&gt;Complete")</f>
        <v/>
      </c>
      <c r="E19" s="12" t="inlineStr">
        <is>
          <t>13_TIFS_Compliance</t>
        </is>
      </c>
      <c r="F19" s="10" t="inlineStr">
        <is>
          <t>Current journal instructions and declarations</t>
        </is>
      </c>
      <c r="G19" s="10" t="inlineStr"/>
      <c r="H19" s="10" t="inlineStr">
        <is>
          <t>Not started</t>
        </is>
      </c>
    </row>
    <row r="22" ht="22" customHeight="1">
      <c r="A22" s="8" t="inlineStr">
        <is>
          <t>Top blocking actions</t>
        </is>
      </c>
    </row>
    <row r="23">
      <c r="A23" s="9" t="inlineStr">
        <is>
          <t>Action ID</t>
        </is>
      </c>
      <c r="B23" s="9" t="inlineStr">
        <is>
          <t>Action</t>
        </is>
      </c>
      <c r="C23" s="9" t="inlineStr">
        <is>
          <t>Why it matters</t>
        </is>
      </c>
      <c r="D23" s="9" t="inlineStr">
        <is>
          <t>Priority</t>
        </is>
      </c>
      <c r="E23" s="9" t="inlineStr">
        <is>
          <t>Status</t>
        </is>
      </c>
      <c r="F23" s="9" t="inlineStr">
        <is>
          <t>Owner</t>
        </is>
      </c>
      <c r="G23" s="9" t="inlineStr">
        <is>
          <t>Due date</t>
        </is>
      </c>
      <c r="H23" s="9" t="inlineStr">
        <is>
          <t>Linked item</t>
        </is>
      </c>
    </row>
    <row r="24">
      <c r="A24" s="10">
        <f>'16_Action_Plan'!A4</f>
        <v/>
      </c>
      <c r="B24" s="10">
        <f>'16_Action_Plan'!C4</f>
        <v/>
      </c>
      <c r="C24" s="10">
        <f>'16_Action_Plan'!D4</f>
        <v/>
      </c>
      <c r="D24" s="10">
        <f>'16_Action_Plan'!J4</f>
        <v/>
      </c>
      <c r="E24" s="10">
        <f>'16_Action_Plan'!L4</f>
        <v/>
      </c>
      <c r="F24" s="10">
        <f>'16_Action_Plan'!K4</f>
        <v/>
      </c>
      <c r="G24" s="10">
        <f>'16_Action_Plan'!M4</f>
        <v/>
      </c>
      <c r="H24" s="10">
        <f>'16_Action_Plan'!O4</f>
        <v/>
      </c>
    </row>
    <row r="25">
      <c r="A25" s="10">
        <f>'16_Action_Plan'!A5</f>
        <v/>
      </c>
      <c r="B25" s="10">
        <f>'16_Action_Plan'!C5</f>
        <v/>
      </c>
      <c r="C25" s="10">
        <f>'16_Action_Plan'!D5</f>
        <v/>
      </c>
      <c r="D25" s="10">
        <f>'16_Action_Plan'!J5</f>
        <v/>
      </c>
      <c r="E25" s="10">
        <f>'16_Action_Plan'!L5</f>
        <v/>
      </c>
      <c r="F25" s="10">
        <f>'16_Action_Plan'!K5</f>
        <v/>
      </c>
      <c r="G25" s="10">
        <f>'16_Action_Plan'!M5</f>
        <v/>
      </c>
      <c r="H25" s="10">
        <f>'16_Action_Plan'!O5</f>
        <v/>
      </c>
    </row>
    <row r="26">
      <c r="A26" s="10">
        <f>'16_Action_Plan'!A6</f>
        <v/>
      </c>
      <c r="B26" s="10">
        <f>'16_Action_Plan'!C6</f>
        <v/>
      </c>
      <c r="C26" s="10">
        <f>'16_Action_Plan'!D6</f>
        <v/>
      </c>
      <c r="D26" s="10">
        <f>'16_Action_Plan'!J6</f>
        <v/>
      </c>
      <c r="E26" s="10">
        <f>'16_Action_Plan'!L6</f>
        <v/>
      </c>
      <c r="F26" s="10">
        <f>'16_Action_Plan'!K6</f>
        <v/>
      </c>
      <c r="G26" s="10">
        <f>'16_Action_Plan'!M6</f>
        <v/>
      </c>
      <c r="H26" s="10">
        <f>'16_Action_Plan'!O6</f>
        <v/>
      </c>
    </row>
    <row r="27">
      <c r="A27" s="10">
        <f>'16_Action_Plan'!A7</f>
        <v/>
      </c>
      <c r="B27" s="10">
        <f>'16_Action_Plan'!C7</f>
        <v/>
      </c>
      <c r="C27" s="10">
        <f>'16_Action_Plan'!D7</f>
        <v/>
      </c>
      <c r="D27" s="10">
        <f>'16_Action_Plan'!J7</f>
        <v/>
      </c>
      <c r="E27" s="10">
        <f>'16_Action_Plan'!L7</f>
        <v/>
      </c>
      <c r="F27" s="10">
        <f>'16_Action_Plan'!K7</f>
        <v/>
      </c>
      <c r="G27" s="10">
        <f>'16_Action_Plan'!M7</f>
        <v/>
      </c>
      <c r="H27" s="10">
        <f>'16_Action_Plan'!O7</f>
        <v/>
      </c>
    </row>
    <row r="28">
      <c r="A28" s="10">
        <f>'16_Action_Plan'!A8</f>
        <v/>
      </c>
      <c r="B28" s="10">
        <f>'16_Action_Plan'!C8</f>
        <v/>
      </c>
      <c r="C28" s="10">
        <f>'16_Action_Plan'!D8</f>
        <v/>
      </c>
      <c r="D28" s="10">
        <f>'16_Action_Plan'!J8</f>
        <v/>
      </c>
      <c r="E28" s="10">
        <f>'16_Action_Plan'!L8</f>
        <v/>
      </c>
      <c r="F28" s="10">
        <f>'16_Action_Plan'!K8</f>
        <v/>
      </c>
      <c r="G28" s="10">
        <f>'16_Action_Plan'!M8</f>
        <v/>
      </c>
      <c r="H28" s="10">
        <f>'16_Action_Plan'!O8</f>
        <v/>
      </c>
    </row>
    <row r="29">
      <c r="A29" s="10">
        <f>'16_Action_Plan'!A9</f>
        <v/>
      </c>
      <c r="B29" s="10">
        <f>'16_Action_Plan'!C9</f>
        <v/>
      </c>
      <c r="C29" s="10">
        <f>'16_Action_Plan'!D9</f>
        <v/>
      </c>
      <c r="D29" s="10">
        <f>'16_Action_Plan'!J9</f>
        <v/>
      </c>
      <c r="E29" s="10">
        <f>'16_Action_Plan'!L9</f>
        <v/>
      </c>
      <c r="F29" s="10">
        <f>'16_Action_Plan'!K9</f>
        <v/>
      </c>
      <c r="G29" s="10">
        <f>'16_Action_Plan'!M9</f>
        <v/>
      </c>
      <c r="H29" s="10">
        <f>'16_Action_Plan'!O9</f>
        <v/>
      </c>
    </row>
    <row r="30">
      <c r="A30" s="10">
        <f>'16_Action_Plan'!A10</f>
        <v/>
      </c>
      <c r="B30" s="10">
        <f>'16_Action_Plan'!C10</f>
        <v/>
      </c>
      <c r="C30" s="10">
        <f>'16_Action_Plan'!D10</f>
        <v/>
      </c>
      <c r="D30" s="10">
        <f>'16_Action_Plan'!J10</f>
        <v/>
      </c>
      <c r="E30" s="10">
        <f>'16_Action_Plan'!L10</f>
        <v/>
      </c>
      <c r="F30" s="10">
        <f>'16_Action_Plan'!K10</f>
        <v/>
      </c>
      <c r="G30" s="10">
        <f>'16_Action_Plan'!M10</f>
        <v/>
      </c>
      <c r="H30" s="10">
        <f>'16_Action_Plan'!O10</f>
        <v/>
      </c>
    </row>
    <row r="31">
      <c r="A31" s="10">
        <f>'16_Action_Plan'!A11</f>
        <v/>
      </c>
      <c r="B31" s="10">
        <f>'16_Action_Plan'!C11</f>
        <v/>
      </c>
      <c r="C31" s="10">
        <f>'16_Action_Plan'!D11</f>
        <v/>
      </c>
      <c r="D31" s="10">
        <f>'16_Action_Plan'!J11</f>
        <v/>
      </c>
      <c r="E31" s="10">
        <f>'16_Action_Plan'!L11</f>
        <v/>
      </c>
      <c r="F31" s="10">
        <f>'16_Action_Plan'!K11</f>
        <v/>
      </c>
      <c r="G31" s="10">
        <f>'16_Action_Plan'!M11</f>
        <v/>
      </c>
      <c r="H31" s="10">
        <f>'16_Action_Plan'!O11</f>
        <v/>
      </c>
    </row>
    <row r="32">
      <c r="A32" s="10">
        <f>'16_Action_Plan'!A12</f>
        <v/>
      </c>
      <c r="B32" s="10">
        <f>'16_Action_Plan'!C12</f>
        <v/>
      </c>
      <c r="C32" s="10">
        <f>'16_Action_Plan'!D12</f>
        <v/>
      </c>
      <c r="D32" s="10">
        <f>'16_Action_Plan'!J12</f>
        <v/>
      </c>
      <c r="E32" s="10">
        <f>'16_Action_Plan'!L12</f>
        <v/>
      </c>
      <c r="F32" s="10">
        <f>'16_Action_Plan'!K12</f>
        <v/>
      </c>
      <c r="G32" s="10">
        <f>'16_Action_Plan'!M12</f>
        <v/>
      </c>
      <c r="H32" s="10">
        <f>'16_Action_Plan'!O12</f>
        <v/>
      </c>
    </row>
    <row r="33">
      <c r="A33" s="10">
        <f>'16_Action_Plan'!A13</f>
        <v/>
      </c>
      <c r="B33" s="10">
        <f>'16_Action_Plan'!C13</f>
        <v/>
      </c>
      <c r="C33" s="10">
        <f>'16_Action_Plan'!D13</f>
        <v/>
      </c>
      <c r="D33" s="10">
        <f>'16_Action_Plan'!J13</f>
        <v/>
      </c>
      <c r="E33" s="10">
        <f>'16_Action_Plan'!L13</f>
        <v/>
      </c>
      <c r="F33" s="10">
        <f>'16_Action_Plan'!K13</f>
        <v/>
      </c>
      <c r="G33" s="10">
        <f>'16_Action_Plan'!M13</f>
        <v/>
      </c>
      <c r="H33" s="10">
        <f>'16_Action_Plan'!O13</f>
        <v/>
      </c>
    </row>
  </sheetData>
  <mergeCells count="16">
    <mergeCell ref="A5:C5"/>
    <mergeCell ref="E5:G5"/>
    <mergeCell ref="I5:K5"/>
    <mergeCell ref="A2:N2"/>
    <mergeCell ref="A8:C8"/>
    <mergeCell ref="E8:G8"/>
    <mergeCell ref="I8:K8"/>
    <mergeCell ref="E4:G4"/>
    <mergeCell ref="A11:H11"/>
    <mergeCell ref="I4:K4"/>
    <mergeCell ref="A7:C7"/>
    <mergeCell ref="A4:C4"/>
    <mergeCell ref="E7:G7"/>
    <mergeCell ref="I7:K7"/>
    <mergeCell ref="A22:H22"/>
    <mergeCell ref="A1:N1"/>
  </mergeCells>
  <conditionalFormatting sqref="H13:H19">
    <cfRule type="expression" priority="1" dxfId="0">
      <formula>$H13="Complete"</formula>
    </cfRule>
    <cfRule type="expression" priority="2" dxfId="1">
      <formula>$H13="In progress"</formula>
    </cfRule>
    <cfRule type="expression" priority="3" dxfId="2">
      <formula>$H13="Needs verification"</formula>
    </cfRule>
    <cfRule type="expression" priority="4" dxfId="3">
      <formula>$H13="Needs revision"</formula>
    </cfRule>
    <cfRule type="expression" priority="5" dxfId="4">
      <formula>$H13="Not started"</formula>
    </cfRule>
    <cfRule type="expression" priority="6" dxfId="5">
      <formula>$H13="Not applicable"</formula>
    </cfRule>
  </conditionalFormatting>
  <conditionalFormatting sqref="B13:B19">
    <cfRule type="cellIs" priority="7" operator="lessThan" dxfId="4">
      <formula>2</formula>
    </cfRule>
    <cfRule type="cellIs" priority="8" operator="between" dxfId="2">
      <formula>2</formula>
      <formula>2.99</formula>
    </cfRule>
    <cfRule type="cellIs" priority="9" operator="between" dxfId="1">
      <formula>3</formula>
      <formula>3.49</formula>
    </cfRule>
    <cfRule type="cellIs" priority="10" operator="greaterThanOrEqual" dxfId="0">
      <formula>3.5</formula>
    </cfRule>
  </conditionalFormatting>
  <conditionalFormatting sqref="D24:D33">
    <cfRule type="expression" priority="11" dxfId="4">
      <formula>$D24="Critical"</formula>
    </cfRule>
    <cfRule type="expression" priority="12" dxfId="3">
      <formula>$D24="High"</formula>
    </cfRule>
    <cfRule type="expression" priority="13" dxfId="2">
      <formula>$D24="Medium"</formula>
    </cfRule>
    <cfRule type="expression" priority="14" dxfId="0">
      <formula>$D24="Low"</formula>
    </cfRule>
  </conditionalFormatting>
  <conditionalFormatting sqref="E24:E33">
    <cfRule type="expression" priority="15" dxfId="0">
      <formula>$E24="Complete"</formula>
    </cfRule>
    <cfRule type="expression" priority="16" dxfId="1">
      <formula>$E24="In progress"</formula>
    </cfRule>
    <cfRule type="expression" priority="17" dxfId="2">
      <formula>$E24="Needs verification"</formula>
    </cfRule>
    <cfRule type="expression" priority="18" dxfId="3">
      <formula>$E24="Needs revision"</formula>
    </cfRule>
    <cfRule type="expression" priority="19" dxfId="4">
      <formula>$E24="Not started"</formula>
    </cfRule>
    <cfRule type="expression" priority="20" dxfId="5">
      <formula>$E24="Not applicable"</formula>
    </cfRule>
  </conditionalFormatting>
  <dataValidations count="1">
    <dataValidation sqref="H13:H19" showDropDown="0" showInputMessage="0" showErrorMessage="0" allowBlank="1" type="list">
      <formula1>=Lists!$A$2:$A$7</formula1>
    </dataValidation>
  </dataValidations>
  <hyperlinks>
    <hyperlink xmlns:r="http://schemas.openxmlformats.org/officeDocument/2006/relationships" ref="E13" r:id="rId1"/>
    <hyperlink xmlns:r="http://schemas.openxmlformats.org/officeDocument/2006/relationships" ref="E14" r:id="rId2"/>
    <hyperlink xmlns:r="http://schemas.openxmlformats.org/officeDocument/2006/relationships" ref="E15" r:id="rId3"/>
    <hyperlink xmlns:r="http://schemas.openxmlformats.org/officeDocument/2006/relationships" ref="E16" r:id="rId4"/>
    <hyperlink xmlns:r="http://schemas.openxmlformats.org/officeDocument/2006/relationships" ref="E17" r:id="rId5"/>
    <hyperlink xmlns:r="http://schemas.openxmlformats.org/officeDocument/2006/relationships" ref="E18" r:id="rId6"/>
    <hyperlink xmlns:r="http://schemas.openxmlformats.org/officeDocument/2006/relationships" ref="E19" r:id="rId7"/>
  </hyperlinks>
  <pageMargins left="0.25" right="0.25" top="0.4" bottom="0.4" header="0.5" footer="0.5"/>
  <pageSetup orientation="landscape" fitToHeight="0" fitToWidth="1"/>
  <drawing xmlns:r="http://schemas.openxmlformats.org/officeDocument/2006/relationships" r:id="rId8"/>
  <tableParts count="1">
    <tablePart xmlns:r="http://schemas.openxmlformats.org/officeDocument/2006/relationships" r:id="rId9"/>
  </tableParts>
</worksheet>
</file>

<file path=xl/worksheets/sheet3.xml><?xml version="1.0" encoding="utf-8"?>
<worksheet xmlns="http://schemas.openxmlformats.org/spreadsheetml/2006/main">
  <sheetPr>
    <tabColor rgb="004472C4"/>
    <outlinePr summaryBelow="1" summaryRight="1"/>
    <pageSetUpPr fitToPage="1"/>
  </sheetPr>
  <dimension ref="A1:N22"/>
  <sheetViews>
    <sheetView showGridLines="0" zoomScale="85" workbookViewId="0">
      <pane ySplit="3" topLeftCell="A4" activePane="bottomLeft" state="frozen"/>
      <selection pane="bottomLeft" activeCell="A1" sqref="A1"/>
    </sheetView>
  </sheetViews>
  <sheetFormatPr baseColWidth="8" defaultRowHeight="15"/>
  <cols>
    <col width="8" customWidth="1" min="1" max="1"/>
    <col width="28" customWidth="1" min="2" max="2"/>
    <col width="42" customWidth="1" min="3" max="3"/>
    <col width="54" customWidth="1" min="4" max="4"/>
    <col width="12" customWidth="1" min="5" max="5"/>
    <col width="9" customWidth="1" min="6" max="6"/>
    <col width="14" customWidth="1" min="7" max="7"/>
    <col width="18" customWidth="1" min="8" max="8"/>
    <col width="12" customWidth="1" min="9" max="9"/>
    <col width="48" customWidth="1" min="10" max="10"/>
    <col width="16" customWidth="1" min="11" max="11"/>
    <col width="13" customWidth="1" min="12" max="12"/>
    <col width="28" customWidth="1" min="13" max="13"/>
    <col width="36" customWidth="1" min="14" max="14"/>
  </cols>
  <sheetData>
    <row r="1" ht="30" customHeight="1">
      <c r="A1" s="1" t="inlineStr">
        <is>
          <t>Story, Positioning and “One Ping” Audit</t>
        </is>
      </c>
    </row>
    <row r="2" ht="28" customHeight="1">
      <c r="A2" s="2" t="inlineStr">
        <is>
          <t>Score each item 0–4. The current judgements are prefilled from the manuscript; revise them after author verification.</t>
        </is>
      </c>
    </row>
    <row r="3">
      <c r="A3" s="9" t="inlineStr">
        <is>
          <t>ID</t>
        </is>
      </c>
      <c r="B3" s="9" t="inlineStr">
        <is>
          <t>Audit item</t>
        </is>
      </c>
      <c r="C3" s="9" t="inlineStr">
        <is>
          <t>Submission standard</t>
        </is>
      </c>
      <c r="D3" s="9" t="inlineStr">
        <is>
          <t>Current manuscript evidence / formulation</t>
        </is>
      </c>
      <c r="E3" s="9" t="inlineStr">
        <is>
          <t>Score (0–4)</t>
        </is>
      </c>
      <c r="F3" s="9" t="inlineStr">
        <is>
          <t>Weight</t>
        </is>
      </c>
      <c r="G3" s="9" t="inlineStr">
        <is>
          <t>Weighted score</t>
        </is>
      </c>
      <c r="H3" s="9" t="inlineStr">
        <is>
          <t>Status</t>
        </is>
      </c>
      <c r="I3" s="9" t="inlineStr">
        <is>
          <t>Priority</t>
        </is>
      </c>
      <c r="J3" s="9" t="inlineStr">
        <is>
          <t>Required action</t>
        </is>
      </c>
      <c r="K3" s="9" t="inlineStr">
        <is>
          <t>Owner</t>
        </is>
      </c>
      <c r="L3" s="9" t="inlineStr">
        <is>
          <t>Due date</t>
        </is>
      </c>
      <c r="M3" s="9" t="inlineStr">
        <is>
          <t>Source / location</t>
        </is>
      </c>
      <c r="N3" s="9" t="inlineStr">
        <is>
          <t>Reviewer notes</t>
        </is>
      </c>
    </row>
    <row r="4">
      <c r="A4" s="10" t="inlineStr">
        <is>
          <t>S01</t>
        </is>
      </c>
      <c r="B4" s="10" t="inlineStr">
        <is>
          <t>One-line real problem</t>
        </is>
      </c>
      <c r="C4" s="10" t="inlineStr">
        <is>
          <t>Identifies a field-level, consequential problem—not merely a missing review.</t>
        </is>
      </c>
      <c r="D4" s="10" t="inlineStr">
        <is>
          <t>Acoustic treatments are specified by frequency, dB, power and time although these do not define receiver exposure.</t>
        </is>
      </c>
      <c r="E4" s="10" t="n">
        <v>4</v>
      </c>
      <c r="F4" s="10" t="n">
        <v>5</v>
      </c>
      <c r="G4" s="10">
        <f>E4*F4</f>
        <v/>
      </c>
      <c r="H4" s="10" t="inlineStr">
        <is>
          <t>High</t>
        </is>
      </c>
      <c r="I4" s="10" t="inlineStr">
        <is>
          <t>Keep wording identical in title logic, abstract, introduction, cover letter and conclusion.</t>
        </is>
      </c>
      <c r="J4" s="10" t="inlineStr"/>
      <c r="K4" s="10" t="inlineStr"/>
      <c r="L4" s="10" t="inlineStr">
        <is>
          <t>Introduction ¶1–5</t>
        </is>
      </c>
      <c r="M4" s="10" t="inlineStr"/>
      <c r="N4" s="10" t="n"/>
    </row>
    <row r="5">
      <c r="A5" s="10" t="inlineStr">
        <is>
          <t>S02</t>
        </is>
      </c>
      <c r="B5" s="10" t="inlineStr">
        <is>
          <t>One reusable “ping”</t>
        </is>
      </c>
      <c r="C5" s="10" t="inlineStr">
        <is>
          <t>Reader can repeat one sharp insight after closing the paper.</t>
        </is>
      </c>
      <c r="D5" s="10" t="inlineStr">
        <is>
          <t>The treatment is what the fruit receives, not what the machine emits.</t>
        </is>
      </c>
      <c r="E5" s="10" t="n">
        <v>4</v>
      </c>
      <c r="F5" s="10" t="n">
        <v>5</v>
      </c>
      <c r="G5" s="10">
        <f>E5*F5</f>
        <v/>
      </c>
      <c r="H5" s="10" t="inlineStr">
        <is>
          <t>Critical</t>
        </is>
      </c>
      <c r="I5" s="10" t="inlineStr">
        <is>
          <t>Prevent secondary ideas from competing with receiver exposure.</t>
        </is>
      </c>
      <c r="J5" s="10" t="inlineStr"/>
      <c r="K5" s="10" t="inlineStr"/>
      <c r="L5" s="10" t="inlineStr">
        <is>
          <t>Introduction / conclusion</t>
        </is>
      </c>
      <c r="M5" s="10" t="inlineStr"/>
      <c r="N5" s="10" t="n"/>
    </row>
    <row r="6">
      <c r="A6" s="10" t="inlineStr">
        <is>
          <t>S03</t>
        </is>
      </c>
      <c r="B6" s="10" t="inlineStr">
        <is>
          <t>Title–scope alignment</t>
        </is>
      </c>
      <c r="C6" s="10" t="inlineStr">
        <is>
          <t>Title states hook, contribution and bounded receiver.</t>
        </is>
      </c>
      <c r="D6" s="10" t="inlineStr">
        <is>
          <t>“From Sound to Shelf … Intact Fruit” aligns with mechanisms, evidence and process design.</t>
        </is>
      </c>
      <c r="E6" s="10" t="n">
        <v>4</v>
      </c>
      <c r="F6" s="10" t="n">
        <v>4</v>
      </c>
      <c r="G6" s="10">
        <f>E6*F6</f>
        <v/>
      </c>
      <c r="H6" s="10" t="inlineStr">
        <is>
          <t>Medium</t>
        </is>
      </c>
      <c r="I6" s="10" t="inlineStr">
        <is>
          <t>Retain “intact fruit”; avoid implying all food acoustic technologies are comprehensively reviewed.</t>
        </is>
      </c>
      <c r="J6" s="10" t="inlineStr"/>
      <c r="K6" s="10" t="inlineStr"/>
      <c r="L6" s="10" t="inlineStr">
        <is>
          <t>Title page</t>
        </is>
      </c>
      <c r="M6" s="10" t="inlineStr"/>
      <c r="N6" s="10" t="n"/>
    </row>
    <row r="7">
      <c r="A7" s="10" t="inlineStr">
        <is>
          <t>S04</t>
        </is>
      </c>
      <c r="B7" s="10" t="inlineStr">
        <is>
          <t>Concrete opening example</t>
        </is>
      </c>
      <c r="C7" s="10" t="inlineStr">
        <is>
          <t>Page one uses a memorable physical counterexample before abstraction.</t>
        </is>
      </c>
      <c r="D7" s="10" t="inlineStr">
        <is>
          <t>The 25 kHz example contrasts contact strain, cavitation, boundary-layer forcing and support motion.</t>
        </is>
      </c>
      <c r="E7" s="10" t="n">
        <v>4</v>
      </c>
      <c r="F7" s="10" t="n">
        <v>4</v>
      </c>
      <c r="G7" s="10">
        <f>E7*F7</f>
        <v/>
      </c>
      <c r="H7" s="10" t="inlineStr">
        <is>
          <t>High</t>
        </is>
      </c>
      <c r="I7" s="10" t="inlineStr">
        <is>
          <t>Keep Figure 1 visually consistent with this example.</t>
        </is>
      </c>
      <c r="J7" s="10" t="inlineStr"/>
      <c r="K7" s="10" t="inlineStr"/>
      <c r="L7" s="10" t="inlineStr">
        <is>
          <t>Introduction ¶1 / Figure 1</t>
        </is>
      </c>
      <c r="M7" s="10" t="inlineStr"/>
      <c r="N7" s="10" t="n"/>
    </row>
    <row r="8">
      <c r="A8" s="10" t="inlineStr">
        <is>
          <t>S05</t>
        </is>
      </c>
      <c r="B8" s="10" t="inlineStr">
        <is>
          <t>Quantified evidence gap</t>
        </is>
      </c>
      <c r="C8" s="10" t="inlineStr">
        <is>
          <t>Gap includes corpus-bounded quantitative result.</t>
        </is>
      </c>
      <c r="D8" s="10" t="inlineStr">
        <is>
          <t>0/7 fruit motion; 0/7 support isolation; 0/7 external confirmation.</t>
        </is>
      </c>
      <c r="E8" s="10" t="n">
        <v>3</v>
      </c>
      <c r="F8" s="10" t="n">
        <v>5</v>
      </c>
      <c r="G8" s="10">
        <f>E8*F8</f>
        <v/>
      </c>
      <c r="H8" s="10" t="inlineStr">
        <is>
          <t>Critical</t>
        </is>
      </c>
      <c r="I8" s="10" t="inlineStr">
        <is>
          <t>Complete reproducible search and independent coding before finalizing the 0/7 claim.</t>
        </is>
      </c>
      <c r="J8" s="10" t="inlineStr"/>
      <c r="K8" s="10" t="inlineStr"/>
      <c r="L8" s="10" t="inlineStr">
        <is>
          <t>Table 2 / Figure 3 / Supplement</t>
        </is>
      </c>
      <c r="M8" s="10" t="inlineStr"/>
      <c r="N8" s="10" t="n"/>
    </row>
    <row r="9">
      <c r="A9" s="10" t="inlineStr">
        <is>
          <t>S06</t>
        </is>
      </c>
      <c r="B9" s="10" t="inlineStr">
        <is>
          <t>Novelty versus prior reviews</t>
        </is>
      </c>
      <c r="C9" s="10" t="inlineStr">
        <is>
          <t>States exactly how this review differs from ultrasound/application reviews.</t>
        </is>
      </c>
      <c r="D9" s="10" t="inlineStr">
        <is>
          <t>Mechanism- and receiver-centred taxonomy plus causal-closure audit and transfer test.</t>
        </is>
      </c>
      <c r="E9" s="10" t="n">
        <v>3</v>
      </c>
      <c r="F9" s="10" t="n">
        <v>5</v>
      </c>
      <c r="G9" s="10">
        <f>E9*F9</f>
        <v/>
      </c>
      <c r="H9" s="10" t="inlineStr">
        <is>
          <t>High</t>
        </is>
      </c>
      <c r="I9" s="10" t="inlineStr">
        <is>
          <t>Add a concise “difference from prior reviews” paragraph or comparison box.</t>
        </is>
      </c>
      <c r="J9" s="10" t="inlineStr"/>
      <c r="K9" s="10" t="inlineStr"/>
      <c r="L9" s="10" t="inlineStr">
        <is>
          <t>End of Introduction</t>
        </is>
      </c>
      <c r="M9" s="10" t="inlineStr"/>
      <c r="N9" s="10" t="n"/>
    </row>
    <row r="10">
      <c r="A10" s="10" t="inlineStr">
        <is>
          <t>S07</t>
        </is>
      </c>
      <c r="B10" s="10" t="inlineStr">
        <is>
          <t>Three refutable contributions</t>
        </is>
      </c>
      <c r="C10" s="10" t="inlineStr">
        <is>
          <t>Contributions are specific, evidence-linked and capable of failure.</t>
        </is>
      </c>
      <c r="D10" s="10" t="inlineStr">
        <is>
          <t>Reclassification; evidence-chain diagnosis; receiver-centred process design.</t>
        </is>
      </c>
      <c r="E10" s="10" t="n">
        <v>4</v>
      </c>
      <c r="F10" s="10" t="n">
        <v>5</v>
      </c>
      <c r="G10" s="10">
        <f>E10*F10</f>
        <v/>
      </c>
      <c r="H10" s="10" t="inlineStr">
        <is>
          <t>High</t>
        </is>
      </c>
      <c r="I10" s="10" t="inlineStr">
        <is>
          <t>Maintain only these three headline contributions.</t>
        </is>
      </c>
      <c r="J10" s="10" t="inlineStr"/>
      <c r="K10" s="10" t="inlineStr"/>
      <c r="L10" s="10" t="inlineStr">
        <is>
          <t>Introduction bullets</t>
        </is>
      </c>
      <c r="M10" s="10" t="inlineStr"/>
      <c r="N10" s="10" t="n"/>
    </row>
    <row r="11">
      <c r="A11" s="10" t="inlineStr">
        <is>
          <t>S08</t>
        </is>
      </c>
      <c r="B11" s="10" t="inlineStr">
        <is>
          <t>Central testable hypothesis</t>
        </is>
      </c>
      <c r="C11" s="10" t="inlineStr">
        <is>
          <t>Predictor and failure condition are explicit.</t>
        </is>
      </c>
      <c r="D11" s="10" t="inlineStr">
        <is>
          <t>Receiver motion / validated strain should outperform nominal source settings for a mechanical effect.</t>
        </is>
      </c>
      <c r="E11" s="10" t="n">
        <v>4</v>
      </c>
      <c r="F11" s="10" t="n">
        <v>5</v>
      </c>
      <c r="G11" s="10">
        <f>E11*F11</f>
        <v/>
      </c>
      <c r="H11" s="10" t="inlineStr">
        <is>
          <t>Critical</t>
        </is>
      </c>
      <c r="I11" s="10" t="inlineStr">
        <is>
          <t>Keep conditional wording; do not present as established fact.</t>
        </is>
      </c>
      <c r="J11" s="10" t="inlineStr"/>
      <c r="K11" s="10" t="inlineStr"/>
      <c r="L11" s="10" t="inlineStr">
        <is>
          <t>Introduction / Section 8</t>
        </is>
      </c>
      <c r="M11" s="10" t="inlineStr"/>
      <c r="N11" s="10" t="n"/>
    </row>
    <row r="12">
      <c r="A12" s="10" t="inlineStr">
        <is>
          <t>S09</t>
        </is>
      </c>
      <c r="B12" s="10" t="inlineStr">
        <is>
          <t>Failure conditions</t>
        </is>
      </c>
      <c r="C12" s="10" t="inlineStr">
        <is>
          <t>Paper states evidence that would weaken or reject the framework.</t>
        </is>
      </c>
      <c r="D12" s="10" t="inlineStr">
        <is>
          <t>Matched exposure without improved prediction implies an incomplete mechanism.</t>
        </is>
      </c>
      <c r="E12" s="10" t="n">
        <v>4</v>
      </c>
      <c r="F12" s="10" t="n">
        <v>4</v>
      </c>
      <c r="G12" s="10">
        <f>E12*F12</f>
        <v/>
      </c>
      <c r="H12" s="10" t="inlineStr">
        <is>
          <t>High</t>
        </is>
      </c>
      <c r="I12" s="10" t="inlineStr">
        <is>
          <t>Repeat failure condition in Figure 4 and conclusion.</t>
        </is>
      </c>
      <c r="J12" s="10" t="inlineStr"/>
      <c r="K12" s="10" t="inlineStr"/>
      <c r="L12" s="10" t="inlineStr">
        <is>
          <t>Table 3 / Section 8</t>
        </is>
      </c>
      <c r="M12" s="10" t="inlineStr"/>
      <c r="N12" s="10" t="n"/>
    </row>
    <row r="13">
      <c r="A13" s="10" t="inlineStr">
        <is>
          <t>S10</t>
        </is>
      </c>
      <c r="B13" s="10" t="inlineStr">
        <is>
          <t>Critical review position</t>
        </is>
      </c>
      <c r="C13" s="10" t="inlineStr">
        <is>
          <t>Paper compares, explains disagreement and separates fact from interpretation.</t>
        </is>
      </c>
      <c r="D13" s="10" t="inlineStr">
        <is>
          <t>Contradiction matrix links disagreement to hidden variables and decisive tests.</t>
        </is>
      </c>
      <c r="E13" s="10" t="n">
        <v>4</v>
      </c>
      <c r="F13" s="10" t="n">
        <v>4</v>
      </c>
      <c r="G13" s="10">
        <f>E13*F13</f>
        <v/>
      </c>
      <c r="H13" s="10" t="inlineStr">
        <is>
          <t>High</t>
        </is>
      </c>
      <c r="I13" s="10" t="inlineStr">
        <is>
          <t>Preserve neutral wording; avoid implying earlier results are false.</t>
        </is>
      </c>
      <c r="J13" s="10" t="inlineStr"/>
      <c r="K13" s="10" t="inlineStr"/>
      <c r="L13" s="10" t="inlineStr">
        <is>
          <t>Section 5 / Table 3</t>
        </is>
      </c>
      <c r="M13" s="10" t="inlineStr"/>
      <c r="N13" s="10" t="n"/>
    </row>
    <row r="14">
      <c r="A14" s="10" t="inlineStr">
        <is>
          <t>S11</t>
        </is>
      </c>
      <c r="B14" s="10" t="inlineStr">
        <is>
          <t>Scope boundary</t>
        </is>
      </c>
      <c r="C14" s="10" t="inlineStr">
        <is>
          <t>Primary receiver and comparator literatures are explicitly separated.</t>
        </is>
      </c>
      <c r="D14" s="10" t="inlineStr">
        <is>
          <t>Intact fruit is focal; sensing, liquid ultrasound, transport and mechanobiology are comparators.</t>
        </is>
      </c>
      <c r="E14" s="10" t="n">
        <v>4</v>
      </c>
      <c r="F14" s="10" t="n">
        <v>4</v>
      </c>
      <c r="G14" s="10">
        <f>E14*F14</f>
        <v/>
      </c>
      <c r="H14" s="10" t="inlineStr">
        <is>
          <t>High</t>
        </is>
      </c>
      <c r="I14" s="10" t="inlineStr">
        <is>
          <t>State this boundary in abstract and methods.</t>
        </is>
      </c>
      <c r="J14" s="10" t="inlineStr"/>
      <c r="K14" s="10" t="inlineStr"/>
      <c r="L14" s="10" t="inlineStr">
        <is>
          <t>Abstract / Section 2</t>
        </is>
      </c>
      <c r="M14" s="10" t="inlineStr"/>
      <c r="N14" s="10" t="n"/>
    </row>
    <row r="15">
      <c r="A15" s="10" t="inlineStr">
        <is>
          <t>S12</t>
        </is>
      </c>
      <c r="B15" s="10" t="inlineStr">
        <is>
          <t>Shelf relevance</t>
        </is>
      </c>
      <c r="C15" s="10" t="inlineStr">
        <is>
          <t>Outcome extends beyond single firmness values to longitudinal shelf performance.</t>
        </is>
      </c>
      <c r="D15" s="10" t="inlineStr">
        <is>
          <t>Section 7 defines trajectories, safety, damage and usable shelf period.</t>
        </is>
      </c>
      <c r="E15" s="10" t="n">
        <v>3</v>
      </c>
      <c r="F15" s="10" t="n">
        <v>4</v>
      </c>
      <c r="G15" s="10">
        <f>E15*F15</f>
        <v/>
      </c>
      <c r="H15" s="10" t="inlineStr">
        <is>
          <t>High</t>
        </is>
      </c>
      <c r="I15" s="10" t="inlineStr">
        <is>
          <t>Check that each shelf-performance claim has direct literature support and does not imply validated extension.</t>
        </is>
      </c>
      <c r="J15" s="10" t="inlineStr"/>
      <c r="K15" s="10" t="inlineStr"/>
      <c r="L15" s="10" t="inlineStr">
        <is>
          <t>Section 7</t>
        </is>
      </c>
      <c r="M15" s="10" t="inlineStr"/>
      <c r="N15" s="10" t="n"/>
    </row>
    <row r="16">
      <c r="A16" s="10" t="inlineStr">
        <is>
          <t>S13</t>
        </is>
      </c>
      <c r="B16" s="10" t="inlineStr">
        <is>
          <t>Industrial decision changed</t>
        </is>
      </c>
      <c r="C16" s="10" t="inlineStr">
        <is>
          <t>Explains what practitioners would do differently.</t>
        </is>
      </c>
      <c r="D16" s="10" t="inlineStr">
        <is>
          <t>Commission loaded systems; measure receiver exposure; treat, retune or abstain.</t>
        </is>
      </c>
      <c r="E16" s="10" t="n">
        <v>3</v>
      </c>
      <c r="F16" s="10" t="n">
        <v>3</v>
      </c>
      <c r="G16" s="10">
        <f>E16*F16</f>
        <v/>
      </c>
      <c r="H16" s="10" t="inlineStr">
        <is>
          <t>Medium</t>
        </is>
      </c>
      <c r="I16" s="10" t="inlineStr">
        <is>
          <t>State the first realistic product: receiver-metrology / commissioning platform.</t>
        </is>
      </c>
      <c r="J16" s="10" t="inlineStr"/>
      <c r="K16" s="10" t="inlineStr"/>
      <c r="L16" s="10" t="inlineStr">
        <is>
          <t>Sections 6–8</t>
        </is>
      </c>
      <c r="M16" s="10" t="inlineStr"/>
      <c r="N16" s="10" t="n"/>
    </row>
    <row r="17">
      <c r="A17" s="10" t="inlineStr">
        <is>
          <t>S14</t>
        </is>
      </c>
      <c r="B17" s="10" t="inlineStr">
        <is>
          <t>Realistic commercial pathway</t>
        </is>
      </c>
      <c r="C17" s="10" t="inlineStr">
        <is>
          <t>Commercial claim is evidence-bounded and staged.</t>
        </is>
      </c>
      <c r="D17" s="10" t="inlineStr">
        <is>
          <t>Metrology platform is lower risk than universal treatment chamber.</t>
        </is>
      </c>
      <c r="E17" s="10" t="n">
        <v>3</v>
      </c>
      <c r="F17" s="10" t="n">
        <v>3</v>
      </c>
      <c r="G17" s="10">
        <f>E17*F17</f>
        <v/>
      </c>
      <c r="H17" s="10" t="inlineStr">
        <is>
          <t>Medium</t>
        </is>
      </c>
      <c r="I17" s="10" t="inlineStr">
        <is>
          <t>Label as strategic inference; add independent industrial maturity evidence if retained.</t>
        </is>
      </c>
      <c r="J17" s="10" t="inlineStr"/>
      <c r="K17" s="10" t="inlineStr"/>
      <c r="L17" s="10" t="inlineStr">
        <is>
          <t>Section 7.4</t>
        </is>
      </c>
      <c r="M17" s="10" t="inlineStr"/>
      <c r="N17" s="10" t="n"/>
    </row>
    <row r="18">
      <c r="A18" s="10" t="inlineStr">
        <is>
          <t>S15</t>
        </is>
      </c>
      <c r="B18" s="10" t="inlineStr">
        <is>
          <t>Limitations and boundaries</t>
        </is>
      </c>
      <c r="C18" s="10" t="inlineStr">
        <is>
          <t>Limitations protect—not undermine—the central claim.</t>
        </is>
      </c>
      <c r="D18" s="10" t="inlineStr">
        <is>
          <t>Small corpus, connected lineage, unvalidated strain reconstruction and unproven closed loop are stated.</t>
        </is>
      </c>
      <c r="E18" s="10" t="n">
        <v>4</v>
      </c>
      <c r="F18" s="10" t="n">
        <v>4</v>
      </c>
      <c r="G18" s="10">
        <f>E18*F18</f>
        <v/>
      </c>
      <c r="H18" s="10" t="inlineStr">
        <is>
          <t>High</t>
        </is>
      </c>
      <c r="I18" s="10" t="inlineStr">
        <is>
          <t>Ensure limitations appear before conclusion and in cover letter.</t>
        </is>
      </c>
      <c r="J18" s="10" t="inlineStr"/>
      <c r="K18" s="10" t="inlineStr"/>
      <c r="L18" s="10" t="inlineStr">
        <is>
          <t>Section 9</t>
        </is>
      </c>
      <c r="M18" s="10" t="inlineStr"/>
      <c r="N18" s="10" t="n"/>
    </row>
    <row r="19">
      <c r="A19" s="10" t="inlineStr">
        <is>
          <t>S16</t>
        </is>
      </c>
      <c r="B19" s="10" t="inlineStr">
        <is>
          <t>Review-method reproducibility</t>
        </is>
      </c>
      <c r="C19" s="10" t="inlineStr">
        <is>
          <t>Search, eligibility, extraction and grading can be independently reproduced.</t>
        </is>
      </c>
      <c r="D19" s="10" t="inlineStr">
        <is>
          <t>Question-led search described; final databases, counts and second reviewer remain incomplete.</t>
        </is>
      </c>
      <c r="E19" s="10" t="n">
        <v>2</v>
      </c>
      <c r="F19" s="10" t="n">
        <v>5</v>
      </c>
      <c r="G19" s="10">
        <f>E19*F19</f>
        <v/>
      </c>
      <c r="H19" s="10" t="inlineStr">
        <is>
          <t>Critical</t>
        </is>
      </c>
      <c r="I19" s="10" t="inlineStr">
        <is>
          <t>Finish search log, exclusion reasons and independent evidence-grade checking.</t>
        </is>
      </c>
      <c r="J19" s="10" t="inlineStr"/>
      <c r="K19" s="10" t="inlineStr"/>
      <c r="L19" s="10" t="inlineStr">
        <is>
          <t>Section 2 / Supplement S1–S3</t>
        </is>
      </c>
      <c r="M19" s="10" t="inlineStr"/>
      <c r="N19" s="10" t="n"/>
    </row>
    <row r="20">
      <c r="A20" s="10" t="inlineStr">
        <is>
          <t>S17</t>
        </is>
      </c>
      <c r="B20" s="10" t="inlineStr">
        <is>
          <t>TIFS fit</t>
        </is>
      </c>
      <c r="C20" s="10" t="inlineStr">
        <is>
          <t>Connects critical synthesis to food-industry application, scale-up and decisions.</t>
        </is>
      </c>
      <c r="D20" s="10" t="inlineStr">
        <is>
          <t>Mechanisms → evidence → process design → shelf performance.</t>
        </is>
      </c>
      <c r="E20" s="10" t="n">
        <v>4</v>
      </c>
      <c r="F20" s="10" t="n">
        <v>4</v>
      </c>
      <c r="G20" s="10">
        <f>E20*F20</f>
        <v/>
      </c>
      <c r="H20" s="10" t="inlineStr">
        <is>
          <t>High</t>
        </is>
      </c>
      <c r="I20" s="10" t="inlineStr">
        <is>
          <t>Keep plant physiology subordinate to food-process metrology.</t>
        </is>
      </c>
      <c r="J20" s="10" t="inlineStr"/>
      <c r="K20" s="10" t="inlineStr"/>
      <c r="L20" s="10" t="inlineStr">
        <is>
          <t>Whole manuscript</t>
        </is>
      </c>
      <c r="M20" s="10" t="inlineStr"/>
      <c r="N20" s="10" t="n"/>
    </row>
    <row r="22">
      <c r="A22" s="4" t="inlineStr">
        <is>
          <t>Weighted readiness (%)</t>
        </is>
      </c>
      <c r="B22" s="23">
        <f>ROUND(SUM(G4:G20)/(4*SUM(F4:F20))*100,1)</f>
        <v/>
      </c>
    </row>
  </sheetData>
  <mergeCells count="2">
    <mergeCell ref="A2:N2"/>
    <mergeCell ref="A1:N1"/>
  </mergeCells>
  <conditionalFormatting sqref="H4:H20">
    <cfRule type="expression" priority="1" dxfId="0">
      <formula>$H4="Complete"</formula>
    </cfRule>
    <cfRule type="expression" priority="2" dxfId="1">
      <formula>$H4="In progress"</formula>
    </cfRule>
    <cfRule type="expression" priority="3" dxfId="2">
      <formula>$H4="Needs verification"</formula>
    </cfRule>
    <cfRule type="expression" priority="4" dxfId="3">
      <formula>$H4="Needs revision"</formula>
    </cfRule>
    <cfRule type="expression" priority="5" dxfId="4">
      <formula>$H4="Not started"</formula>
    </cfRule>
    <cfRule type="expression" priority="6" dxfId="5">
      <formula>$H4="Not applicable"</formula>
    </cfRule>
  </conditionalFormatting>
  <conditionalFormatting sqref="I4:I20">
    <cfRule type="expression" priority="7" dxfId="4">
      <formula>$I4="Critical"</formula>
    </cfRule>
    <cfRule type="expression" priority="8" dxfId="3">
      <formula>$I4="High"</formula>
    </cfRule>
    <cfRule type="expression" priority="9" dxfId="2">
      <formula>$I4="Medium"</formula>
    </cfRule>
    <cfRule type="expression" priority="10" dxfId="0">
      <formula>$I4="Low"</formula>
    </cfRule>
  </conditionalFormatting>
  <conditionalFormatting sqref="E4:E20">
    <cfRule type="cellIs" priority="11" operator="lessThan" dxfId="4">
      <formula>2</formula>
    </cfRule>
    <cfRule type="cellIs" priority="12" operator="between" dxfId="2">
      <formula>2</formula>
      <formula>2.99</formula>
    </cfRule>
    <cfRule type="cellIs" priority="13" operator="between" dxfId="1">
      <formula>3</formula>
      <formula>3.49</formula>
    </cfRule>
    <cfRule type="cellIs" priority="14" operator="greaterThanOrEqual" dxfId="0">
      <formula>3.5</formula>
    </cfRule>
  </conditionalFormatting>
  <dataValidations count="3">
    <dataValidation sqref="E4:E20" showDropDown="0" showInputMessage="0" showErrorMessage="0" allowBlank="1" type="whole" operator="between">
      <formula1>0</formula1>
      <formula2>4</formula2>
    </dataValidation>
    <dataValidation sqref="H4:H20" showDropDown="0" showInputMessage="0" showErrorMessage="0" allowBlank="1" type="list">
      <formula1>=Lists!$A$2:$A$7</formula1>
    </dataValidation>
    <dataValidation sqref="I4:I20" showDropDown="0" showInputMessage="0" showErrorMessage="0" allowBlank="1" type="list">
      <formula1>=Lists!$C$2:$C$5</formula1>
    </dataValidation>
  </dataValidations>
  <pageMargins left="0.25" right="0.25" top="0.4" bottom="0.4" header="0.5" footer="0.5"/>
  <pageSetup orientation="landscape"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5B9BD5"/>
    <outlinePr summaryBelow="1" summaryRight="1"/>
    <pageSetUpPr fitToPage="1"/>
  </sheetPr>
  <dimension ref="A1:N17"/>
  <sheetViews>
    <sheetView showGridLines="0" zoomScale="80" workbookViewId="0">
      <pane ySplit="3" topLeftCell="A4" activePane="bottomLeft" state="frozen"/>
      <selection pane="bottomLeft" activeCell="A1" sqref="A1"/>
    </sheetView>
  </sheetViews>
  <sheetFormatPr baseColWidth="8" defaultRowHeight="15"/>
  <cols>
    <col width="34" customWidth="1" min="1" max="1"/>
    <col width="38" customWidth="1" min="2" max="2"/>
    <col width="42" customWidth="1" min="3" max="3"/>
    <col width="44" customWidth="1" min="4" max="4"/>
    <col width="42" customWidth="1" min="5" max="5"/>
    <col width="13" customWidth="1" min="6" max="6"/>
    <col width="11" customWidth="1" min="7" max="7"/>
    <col width="18" customWidth="1" min="8" max="8"/>
    <col width="12" customWidth="1" min="9" max="9"/>
    <col width="45" customWidth="1" min="10" max="10"/>
    <col width="15" customWidth="1" min="11" max="11"/>
    <col width="13" customWidth="1" min="12" max="12"/>
    <col width="24" customWidth="1" min="13" max="13"/>
    <col width="30" customWidth="1" min="14" max="14"/>
  </cols>
  <sheetData>
    <row r="1" ht="30" customHeight="1">
      <c r="A1" s="1" t="inlineStr">
        <is>
          <t>Section-by-Section Manuscript Audit</t>
        </is>
      </c>
    </row>
    <row r="2" ht="28" customHeight="1">
      <c r="A2" s="2" t="inlineStr">
        <is>
          <t>Each section should perform one scientific job and move the narrative from mechanism to evidence to process design to shelf relevance.</t>
        </is>
      </c>
    </row>
    <row r="3">
      <c r="A3" s="9" t="inlineStr">
        <is>
          <t>Section</t>
        </is>
      </c>
      <c r="B3" s="9" t="inlineStr">
        <is>
          <t>Primary job</t>
        </is>
      </c>
      <c r="C3" s="9" t="inlineStr">
        <is>
          <t>Current strength</t>
        </is>
      </c>
      <c r="D3" s="9" t="inlineStr">
        <is>
          <t>Principal weakness / risk</t>
        </is>
      </c>
      <c r="E3" s="9" t="inlineStr">
        <is>
          <t>Evidence or completion needed</t>
        </is>
      </c>
      <c r="F3" s="9" t="inlineStr">
        <is>
          <t>Current word count</t>
        </is>
      </c>
      <c r="G3" s="9" t="inlineStr">
        <is>
          <t>Score (0–4)</t>
        </is>
      </c>
      <c r="H3" s="9" t="inlineStr">
        <is>
          <t>Status</t>
        </is>
      </c>
      <c r="I3" s="9" t="inlineStr">
        <is>
          <t>Priority</t>
        </is>
      </c>
      <c r="J3" s="9" t="inlineStr">
        <is>
          <t>Required action</t>
        </is>
      </c>
      <c r="K3" s="9" t="inlineStr">
        <is>
          <t>Owner</t>
        </is>
      </c>
      <c r="L3" s="9" t="inlineStr">
        <is>
          <t>Due date</t>
        </is>
      </c>
      <c r="M3" s="9" t="inlineStr">
        <is>
          <t>Source / page</t>
        </is>
      </c>
      <c r="N3" s="9" t="inlineStr">
        <is>
          <t>Notes</t>
        </is>
      </c>
    </row>
    <row r="4">
      <c r="A4" s="10" t="inlineStr">
        <is>
          <t>Highlights</t>
        </is>
      </c>
      <c r="B4" s="10" t="inlineStr">
        <is>
          <t>State five concise findings without overclaiming.</t>
        </is>
      </c>
      <c r="C4" s="10" t="inlineStr">
        <is>
          <t>Clear receiver-centred story and 0/7 signal.</t>
        </is>
      </c>
      <c r="D4" s="10" t="inlineStr">
        <is>
          <t>“None of seven” requires completed review protocol.</t>
        </is>
      </c>
      <c r="E4" s="10" t="inlineStr">
        <is>
          <t>Final search and coding record; final word/character limits.</t>
        </is>
      </c>
      <c r="F4" s="10" t="n">
        <v>51</v>
      </c>
      <c r="G4" s="10" t="n">
        <v>3</v>
      </c>
      <c r="H4" s="10" t="inlineStr">
        <is>
          <t>Needs verification</t>
        </is>
      </c>
      <c r="I4" s="10" t="inlineStr">
        <is>
          <t>High</t>
        </is>
      </c>
      <c r="J4" s="10" t="inlineStr">
        <is>
          <t>Verify journal format and evidence boundary.</t>
        </is>
      </c>
      <c r="K4" s="10" t="inlineStr"/>
      <c r="L4" s="10" t="inlineStr"/>
      <c r="M4" s="10" t="inlineStr">
        <is>
          <t>Manuscript</t>
        </is>
      </c>
      <c r="N4" s="10" t="inlineStr"/>
    </row>
    <row r="5">
      <c r="A5" s="10" t="inlineStr">
        <is>
          <t>Abstract</t>
        </is>
      </c>
      <c r="B5" s="10" t="inlineStr">
        <is>
          <t>Problem → gap → critical synthesis → framework → impact.</t>
        </is>
      </c>
      <c r="C5" s="10" t="inlineStr">
        <is>
          <t>Strong source-versus-receiver problem and quantified gap.</t>
        </is>
      </c>
      <c r="D5" s="10" t="inlineStr">
        <is>
          <t>Methods and 0/7 claim depend on unfinished search documentation.</t>
        </is>
      </c>
      <c r="E5" s="10" t="inlineStr">
        <is>
          <t>Final database record; exact abstract word limit check.</t>
        </is>
      </c>
      <c r="F5" s="10" t="n">
        <v>244</v>
      </c>
      <c r="G5" s="10" t="n">
        <v>3</v>
      </c>
      <c r="H5" s="10" t="inlineStr">
        <is>
          <t>Needs verification</t>
        </is>
      </c>
      <c r="I5" s="10" t="inlineStr">
        <is>
          <t>Critical</t>
        </is>
      </c>
      <c r="J5" s="10" t="inlineStr">
        <is>
          <t>Update only after search audit is locked.</t>
        </is>
      </c>
      <c r="K5" s="10" t="inlineStr"/>
      <c r="L5" s="10" t="inlineStr"/>
      <c r="M5" s="10" t="inlineStr">
        <is>
          <t>Manuscript</t>
        </is>
      </c>
      <c r="N5" s="10" t="inlineStr"/>
    </row>
    <row r="6">
      <c r="A6" s="10" t="inlineStr">
        <is>
          <t>1. Introduction: the missing link from sound to shelf</t>
        </is>
      </c>
      <c r="B6" s="10" t="inlineStr">
        <is>
          <t>Concrete example, gap, position and three contributions.</t>
        </is>
      </c>
      <c r="C6" s="10" t="inlineStr">
        <is>
          <t>Excellent 25 kHz counterexample and refutable contributions.</t>
        </is>
      </c>
      <c r="D6" s="10" t="inlineStr">
        <is>
          <t>Novelty versus existing reviews could be more explicit.</t>
        </is>
      </c>
      <c r="E6" s="10" t="inlineStr">
        <is>
          <t>One compact prior-review comparison paragraph.</t>
        </is>
      </c>
      <c r="F6" s="10" t="n">
        <v>456</v>
      </c>
      <c r="G6" s="10" t="n">
        <v>4</v>
      </c>
      <c r="H6" s="10" t="inlineStr">
        <is>
          <t>Complete</t>
        </is>
      </c>
      <c r="I6" s="10" t="inlineStr">
        <is>
          <t>High</t>
        </is>
      </c>
      <c r="J6" s="10" t="inlineStr">
        <is>
          <t>Add explicit novelty comparison if space permits.</t>
        </is>
      </c>
      <c r="K6" s="10" t="inlineStr"/>
      <c r="L6" s="10" t="inlineStr"/>
      <c r="M6" s="10" t="inlineStr">
        <is>
          <t>Manuscript</t>
        </is>
      </c>
      <c r="N6" s="10" t="inlineStr"/>
    </row>
    <row r="7">
      <c r="A7" s="10" t="inlineStr">
        <is>
          <t>2. Review scope and critical evidence method</t>
        </is>
      </c>
      <c r="B7" s="10" t="inlineStr">
        <is>
          <t>Define search, eligibility, grading and claim boundary.</t>
        </is>
      </c>
      <c r="C7" s="10" t="inlineStr">
        <is>
          <t>Honest question-led review boundary and grade definitions.</t>
        </is>
      </c>
      <c r="D7" s="10" t="inlineStr">
        <is>
          <t>Databases, counts, exclusions and reviewer agreement unfinished.</t>
        </is>
      </c>
      <c r="E7" s="10" t="inlineStr">
        <is>
          <t>Complete S1–S3 from actual records.</t>
        </is>
      </c>
      <c r="F7" s="10" t="n">
        <v>268</v>
      </c>
      <c r="G7" s="10" t="n">
        <v>2</v>
      </c>
      <c r="H7" s="10" t="inlineStr">
        <is>
          <t>Needs verification</t>
        </is>
      </c>
      <c r="I7" s="10" t="inlineStr">
        <is>
          <t>Critical</t>
        </is>
      </c>
      <c r="J7" s="10" t="inlineStr">
        <is>
          <t>Treat as the main submission blocker.</t>
        </is>
      </c>
      <c r="K7" s="10" t="inlineStr"/>
      <c r="L7" s="10" t="inlineStr"/>
      <c r="M7" s="10" t="inlineStr">
        <is>
          <t>Manuscript</t>
        </is>
      </c>
      <c r="N7" s="10" t="inlineStr"/>
    </row>
    <row r="8">
      <c r="A8" s="10" t="inlineStr">
        <is>
          <t>3. Mechanisms: one acoustic spectrum, different physical technologies</t>
        </is>
      </c>
      <c r="B8" s="10" t="inlineStr">
        <is>
          <t>Reclassify technologies by transfer path and receiver variable.</t>
        </is>
      </c>
      <c r="C8" s="10" t="inlineStr">
        <is>
          <t>Strong physics-based taxonomy and 25 kHz example.</t>
        </is>
      </c>
      <c r="D8" s="10" t="inlineStr">
        <is>
          <t>Deployment judgements may appear subjective.</t>
        </is>
      </c>
      <c r="E8" s="10" t="inlineStr">
        <is>
          <t>Define maturity criteria or soften labels.</t>
        </is>
      </c>
      <c r="F8" s="10" t="n">
        <v>0</v>
      </c>
      <c r="G8" s="10" t="n">
        <v>3</v>
      </c>
      <c r="H8" s="10" t="inlineStr">
        <is>
          <t>Needs revision</t>
        </is>
      </c>
      <c r="I8" s="10" t="inlineStr">
        <is>
          <t>High</t>
        </is>
      </c>
      <c r="J8" s="10" t="inlineStr">
        <is>
          <t>Move detailed maturity rubric to supplement.</t>
        </is>
      </c>
      <c r="K8" s="10" t="inlineStr"/>
      <c r="L8" s="10" t="inlineStr"/>
      <c r="M8" s="10" t="inlineStr">
        <is>
          <t>Manuscript</t>
        </is>
      </c>
      <c r="N8" s="10" t="inlineStr"/>
    </row>
    <row r="9">
      <c r="A9" s="10" t="inlineStr">
        <is>
          <t>4. Evidence: what is established and what remains latent</t>
        </is>
      </c>
      <c r="B9" s="10" t="inlineStr">
        <is>
          <t>Compare study clusters and audit causal closure.</t>
        </is>
      </c>
      <c r="C9" s="10" t="inlineStr">
        <is>
          <t>Distinguishes outcome evidence from exposure evidence.</t>
        </is>
      </c>
      <c r="D9" s="10" t="inlineStr">
        <is>
          <t>Seven studies are a narrow corpus and connected lineage.</t>
        </is>
      </c>
      <c r="E9" s="10" t="inlineStr">
        <is>
          <t>Search completeness; full-text verification; second reviewer.</t>
        </is>
      </c>
      <c r="F9" s="10" t="n">
        <v>0</v>
      </c>
      <c r="G9" s="10" t="n">
        <v>3</v>
      </c>
      <c r="H9" s="10" t="inlineStr">
        <is>
          <t>Needs verification</t>
        </is>
      </c>
      <c r="I9" s="10" t="inlineStr">
        <is>
          <t>Critical</t>
        </is>
      </c>
      <c r="J9" s="10" t="inlineStr">
        <is>
          <t>Lock extraction and evidence coding.</t>
        </is>
      </c>
      <c r="K9" s="10" t="inlineStr"/>
      <c r="L9" s="10" t="inlineStr"/>
      <c r="M9" s="10" t="inlineStr">
        <is>
          <t>Manuscript</t>
        </is>
      </c>
      <c r="N9" s="10" t="inlineStr"/>
    </row>
    <row r="10">
      <c r="A10" s="10" t="inlineStr">
        <is>
          <t>5. Contradictions reveal hidden exposure variables</t>
        </is>
      </c>
      <c r="B10" s="10" t="inlineStr">
        <is>
          <t>Explain disagreement through hidden variables and decisive tests.</t>
        </is>
      </c>
      <c r="C10" s="10" t="inlineStr">
        <is>
          <t>High-value synthesis; not a paper-by-paper catalogue.</t>
        </is>
      </c>
      <c r="D10" s="10" t="inlineStr">
        <is>
          <t>Some comparator claims may require source-level verification.</t>
        </is>
      </c>
      <c r="E10" s="10" t="inlineStr">
        <is>
          <t>Claim–reference audit for every contradiction.</t>
        </is>
      </c>
      <c r="F10" s="10" t="n">
        <v>125</v>
      </c>
      <c r="G10" s="10" t="n">
        <v>3</v>
      </c>
      <c r="H10" s="10" t="inlineStr">
        <is>
          <t>Needs verification</t>
        </is>
      </c>
      <c r="I10" s="10" t="inlineStr">
        <is>
          <t>High</t>
        </is>
      </c>
      <c r="J10" s="10" t="inlineStr">
        <is>
          <t>Use Table 3 as the organizing spine.</t>
        </is>
      </c>
      <c r="K10" s="10" t="inlineStr"/>
      <c r="L10" s="10" t="inlineStr"/>
      <c r="M10" s="10" t="inlineStr">
        <is>
          <t>Manuscript</t>
        </is>
      </c>
      <c r="N10" s="10" t="inlineStr"/>
    </row>
    <row r="11">
      <c r="A11" s="10" t="inlineStr">
        <is>
          <t>6. Receiver-centred process design</t>
        </is>
      </c>
      <c r="B11" s="10" t="inlineStr">
        <is>
          <t>Operationalize the solution.</t>
        </is>
      </c>
      <c r="C11" s="10" t="inlineStr">
        <is>
          <t>Exposure Passport, Operating Window and receiver equivalence are coherent.</t>
        </is>
      </c>
      <c r="D11" s="10" t="inlineStr">
        <is>
          <t>Proposed tools are not yet validated standards.</t>
        </is>
      </c>
      <c r="E11" s="10" t="inlineStr">
        <is>
          <t>Use “proposed”; distinguish minimum reporting from validation.</t>
        </is>
      </c>
      <c r="F11" s="10" t="n">
        <v>0</v>
      </c>
      <c r="G11" s="10" t="n">
        <v>4</v>
      </c>
      <c r="H11" s="10" t="inlineStr">
        <is>
          <t>Complete</t>
        </is>
      </c>
      <c r="I11" s="10" t="inlineStr">
        <is>
          <t>High</t>
        </is>
      </c>
      <c r="J11" s="10" t="inlineStr">
        <is>
          <t>Keep receiver equivalence explicitly testable.</t>
        </is>
      </c>
      <c r="K11" s="10" t="inlineStr"/>
      <c r="L11" s="10" t="inlineStr"/>
      <c r="M11" s="10" t="inlineStr">
        <is>
          <t>Manuscript</t>
        </is>
      </c>
      <c r="N11" s="10" t="inlineStr"/>
    </row>
    <row r="12">
      <c r="A12" s="10" t="inlineStr">
        <is>
          <t>7. From treatment to shelf performance</t>
        </is>
      </c>
      <c r="B12" s="10" t="inlineStr">
        <is>
          <t>Connect exposure to longitudinal product value.</t>
        </is>
      </c>
      <c r="C12" s="10" t="inlineStr">
        <is>
          <t>Moves beyond single firmness endpoints.</t>
        </is>
      </c>
      <c r="D12" s="10" t="inlineStr">
        <is>
          <t>Risk of promising shelf-life extension without validation.</t>
        </is>
      </c>
      <c r="E12" s="10" t="inlineStr">
        <is>
          <t>Use “shelf-relevant trajectory”; support each outcome domain.</t>
        </is>
      </c>
      <c r="F12" s="10" t="n">
        <v>0</v>
      </c>
      <c r="G12" s="10" t="n">
        <v>3</v>
      </c>
      <c r="H12" s="10" t="inlineStr">
        <is>
          <t>Needs revision</t>
        </is>
      </c>
      <c r="I12" s="10" t="inlineStr">
        <is>
          <t>High</t>
        </is>
      </c>
      <c r="J12" s="10" t="inlineStr">
        <is>
          <t>Audit wording around shelf extension.</t>
        </is>
      </c>
      <c r="K12" s="10" t="inlineStr"/>
      <c r="L12" s="10" t="inlineStr"/>
      <c r="M12" s="10" t="inlineStr">
        <is>
          <t>Manuscript</t>
        </is>
      </c>
      <c r="N12" s="10" t="inlineStr"/>
    </row>
    <row r="13">
      <c r="A13" s="10" t="inlineStr">
        <is>
          <t>8. Decisive experiments and staged validation</t>
        </is>
      </c>
      <c r="B13" s="10" t="inlineStr">
        <is>
          <t>Specify experiments that can support or reject the framework.</t>
        </is>
      </c>
      <c r="C13" s="10" t="inlineStr">
        <is>
          <t>Motion clamp and route separation produce informative outcomes.</t>
        </is>
      </c>
      <c r="D13" s="10" t="inlineStr">
        <is>
          <t>No pilot variance, sample size or equivalence margin yet.</t>
        </is>
      </c>
      <c r="E13" s="10" t="inlineStr">
        <is>
          <t>Pilot design and statistical analysis plan.</t>
        </is>
      </c>
      <c r="F13" s="10" t="n">
        <v>0</v>
      </c>
      <c r="G13" s="10" t="n">
        <v>3</v>
      </c>
      <c r="H13" s="10" t="inlineStr">
        <is>
          <t>Needs verification</t>
        </is>
      </c>
      <c r="I13" s="10" t="inlineStr">
        <is>
          <t>High</t>
        </is>
      </c>
      <c r="J13" s="10" t="inlineStr">
        <is>
          <t>Complete S5 before claiming implementability.</t>
        </is>
      </c>
      <c r="K13" s="10" t="inlineStr"/>
      <c r="L13" s="10" t="inlineStr"/>
      <c r="M13" s="10" t="inlineStr">
        <is>
          <t>Manuscript</t>
        </is>
      </c>
      <c r="N13" s="10" t="inlineStr"/>
    </row>
    <row r="14">
      <c r="A14" s="10" t="inlineStr">
        <is>
          <t>9. Limitations and boundary conditions</t>
        </is>
      </c>
      <c r="B14" s="10" t="inlineStr">
        <is>
          <t>State where the framework may fail or require different variables.</t>
        </is>
      </c>
      <c r="C14" s="10" t="inlineStr">
        <is>
          <t>Transparent and scientifically protective.</t>
        </is>
      </c>
      <c r="D14" s="10" t="inlineStr">
        <is>
          <t>Could distinguish review limitations from framework limitations.</t>
        </is>
      </c>
      <c r="E14" s="10" t="inlineStr">
        <is>
          <t>Split into two short subgroups.</t>
        </is>
      </c>
      <c r="F14" s="10" t="n">
        <v>194</v>
      </c>
      <c r="G14" s="10" t="n">
        <v>4</v>
      </c>
      <c r="H14" s="10" t="inlineStr">
        <is>
          <t>Complete</t>
        </is>
      </c>
      <c r="I14" s="10" t="inlineStr">
        <is>
          <t>Medium</t>
        </is>
      </c>
      <c r="J14" s="10" t="inlineStr">
        <is>
          <t>Retain explicit failure conditions.</t>
        </is>
      </c>
      <c r="K14" s="10" t="inlineStr"/>
      <c r="L14" s="10" t="inlineStr"/>
      <c r="M14" s="10" t="inlineStr">
        <is>
          <t>Manuscript</t>
        </is>
      </c>
      <c r="N14" s="10" t="inlineStr"/>
    </row>
    <row r="15">
      <c r="A15" s="10" t="inlineStr">
        <is>
          <t>10. Conclusions</t>
        </is>
      </c>
      <c r="B15" s="10" t="inlineStr">
        <is>
          <t>Answer the question and broaden to field significance.</t>
        </is>
      </c>
      <c r="C15" s="10" t="inlineStr">
        <is>
          <t>Returns to receiver exposure and transferable process.</t>
        </is>
      </c>
      <c r="D15" s="10" t="inlineStr">
        <is>
          <t>Avoid repeating all tools and digital-control outlook.</t>
        </is>
      </c>
      <c r="E15" s="10" t="inlineStr">
        <is>
          <t>Tight 3–4 paragraph conclusion.</t>
        </is>
      </c>
      <c r="F15" s="10" t="n">
        <v>224</v>
      </c>
      <c r="G15" s="10" t="n">
        <v>4</v>
      </c>
      <c r="H15" s="10" t="inlineStr">
        <is>
          <t>Complete</t>
        </is>
      </c>
      <c r="I15" s="10" t="inlineStr">
        <is>
          <t>Medium</t>
        </is>
      </c>
      <c r="J15" s="10" t="inlineStr">
        <is>
          <t>End with one decisive sentence.</t>
        </is>
      </c>
      <c r="K15" s="10" t="inlineStr"/>
      <c r="L15" s="10" t="inlineStr"/>
      <c r="M15" s="10" t="inlineStr">
        <is>
          <t>Manuscript</t>
        </is>
      </c>
      <c r="N15" s="10" t="inlineStr"/>
    </row>
    <row r="16">
      <c r="A16" s="10" t="inlineStr">
        <is>
          <t>Declarations</t>
        </is>
      </c>
      <c r="B16" s="10" t="inlineStr">
        <is>
          <t>Meet journal and ethical submission requirements.</t>
        </is>
      </c>
      <c r="C16" s="10" t="inlineStr">
        <is>
          <t>Data-availability and AI declaration are present.</t>
        </is>
      </c>
      <c r="D16" s="10" t="inlineStr">
        <is>
          <t>Author, funding, COI and acknowledgements remain placeholders.</t>
        </is>
      </c>
      <c r="E16" s="10" t="inlineStr">
        <is>
          <t>Verified author inputs.</t>
        </is>
      </c>
      <c r="F16" s="10" t="n">
        <v>0</v>
      </c>
      <c r="G16" s="10" t="n">
        <v>1</v>
      </c>
      <c r="H16" s="10" t="inlineStr">
        <is>
          <t>Not started</t>
        </is>
      </c>
      <c r="I16" s="10" t="inlineStr">
        <is>
          <t>Critical</t>
        </is>
      </c>
      <c r="J16" s="10" t="inlineStr">
        <is>
          <t>Complete before submission.</t>
        </is>
      </c>
      <c r="K16" s="10" t="inlineStr"/>
      <c r="L16" s="10" t="inlineStr"/>
      <c r="M16" s="10" t="inlineStr">
        <is>
          <t>Manuscript</t>
        </is>
      </c>
      <c r="N16" s="10" t="inlineStr"/>
    </row>
    <row r="17">
      <c r="A17" s="10" t="inlineStr">
        <is>
          <t>References</t>
        </is>
      </c>
      <c r="B17" s="10" t="inlineStr">
        <is>
          <t>Provide accurate, relevant and traceable support.</t>
        </is>
      </c>
      <c r="C17" s="10" t="inlineStr">
        <is>
          <t>Broad evidence base with 127 references.</t>
        </is>
      </c>
      <c r="D17" s="10" t="inlineStr">
        <is>
          <t>Full source-level claim audit and current-reference verification incomplete.</t>
        </is>
      </c>
      <c r="E17" s="10" t="inlineStr">
        <is>
          <t>Complete Reference Audit sheet.</t>
        </is>
      </c>
      <c r="F17" s="10" t="n">
        <v>0</v>
      </c>
      <c r="G17" s="10" t="n">
        <v>2</v>
      </c>
      <c r="H17" s="10" t="inlineStr">
        <is>
          <t>Needs verification</t>
        </is>
      </c>
      <c r="I17" s="10" t="inlineStr">
        <is>
          <t>Critical</t>
        </is>
      </c>
      <c r="J17" s="10" t="inlineStr">
        <is>
          <t>Verify every load-bearing claim and DOI.</t>
        </is>
      </c>
      <c r="K17" s="10" t="inlineStr"/>
      <c r="L17" s="10" t="inlineStr"/>
      <c r="M17" s="10" t="inlineStr">
        <is>
          <t>Manuscript</t>
        </is>
      </c>
      <c r="N17" s="10" t="inlineStr"/>
    </row>
  </sheetData>
  <mergeCells count="2">
    <mergeCell ref="A2:N2"/>
    <mergeCell ref="A1:N1"/>
  </mergeCells>
  <conditionalFormatting sqref="G4:G17">
    <cfRule type="cellIs" priority="1" operator="lessThan" dxfId="4">
      <formula>2</formula>
    </cfRule>
    <cfRule type="cellIs" priority="2" operator="between" dxfId="2">
      <formula>2</formula>
      <formula>2.99</formula>
    </cfRule>
    <cfRule type="cellIs" priority="3" operator="between" dxfId="1">
      <formula>3</formula>
      <formula>3.49</formula>
    </cfRule>
    <cfRule type="cellIs" priority="4" operator="greaterThanOrEqual" dxfId="0">
      <formula>3.5</formula>
    </cfRule>
  </conditionalFormatting>
  <conditionalFormatting sqref="H4:H17">
    <cfRule type="expression" priority="5" dxfId="0">
      <formula>$H4="Complete"</formula>
    </cfRule>
    <cfRule type="expression" priority="6" dxfId="1">
      <formula>$H4="In progress"</formula>
    </cfRule>
    <cfRule type="expression" priority="7" dxfId="2">
      <formula>$H4="Needs verification"</formula>
    </cfRule>
    <cfRule type="expression" priority="8" dxfId="3">
      <formula>$H4="Needs revision"</formula>
    </cfRule>
    <cfRule type="expression" priority="9" dxfId="4">
      <formula>$H4="Not started"</formula>
    </cfRule>
    <cfRule type="expression" priority="10" dxfId="5">
      <formula>$H4="Not applicable"</formula>
    </cfRule>
  </conditionalFormatting>
  <conditionalFormatting sqref="I4:I17">
    <cfRule type="expression" priority="11" dxfId="4">
      <formula>$I4="Critical"</formula>
    </cfRule>
    <cfRule type="expression" priority="12" dxfId="3">
      <formula>$I4="High"</formula>
    </cfRule>
    <cfRule type="expression" priority="13" dxfId="2">
      <formula>$I4="Medium"</formula>
    </cfRule>
    <cfRule type="expression" priority="14" dxfId="0">
      <formula>$I4="Low"</formula>
    </cfRule>
  </conditionalFormatting>
  <dataValidations count="3">
    <dataValidation sqref="G4:G17" showDropDown="0" showInputMessage="0" showErrorMessage="0" allowBlank="1" type="whole" operator="between">
      <formula1>0</formula1>
      <formula2>4</formula2>
    </dataValidation>
    <dataValidation sqref="H4:H17" showDropDown="0" showInputMessage="0" showErrorMessage="0" allowBlank="1" type="list">
      <formula1>=Lists!$A$2:$A$7</formula1>
    </dataValidation>
    <dataValidation sqref="I4:I17" showDropDown="0" showInputMessage="0" showErrorMessage="0" allowBlank="1" type="list">
      <formula1>=Lists!$C$2:$C$5</formula1>
    </dataValidation>
  </dataValidations>
  <pageMargins left="0.25" right="0.25" top="0.4" bottom="0.4" header="0.5" footer="0.5"/>
  <pageSetup orientation="landscape"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70AD47"/>
    <outlinePr summaryBelow="1" summaryRight="1"/>
    <pageSetUpPr fitToPage="1"/>
  </sheetPr>
  <dimension ref="A1:Q28"/>
  <sheetViews>
    <sheetView showGridLines="0" zoomScale="75" workbookViewId="0">
      <pane ySplit="3" topLeftCell="A4" activePane="bottomLeft" state="frozen"/>
      <selection pane="bottomLeft" activeCell="A1" sqref="A1"/>
    </sheetView>
  </sheetViews>
  <sheetFormatPr baseColWidth="8" defaultRowHeight="15"/>
  <cols>
    <col width="9" customWidth="1" min="1" max="1"/>
    <col width="54" customWidth="1" min="2" max="2"/>
    <col width="24" customWidth="1" min="3" max="3"/>
    <col width="12" customWidth="1" min="4" max="4"/>
    <col width="24" customWidth="1" min="5" max="5"/>
    <col width="32" customWidth="1" min="6" max="6"/>
    <col width="22" customWidth="1" min="7" max="7"/>
    <col width="15" customWidth="1" min="8" max="8"/>
    <col width="14" customWidth="1" min="9" max="9"/>
    <col width="32" customWidth="1" min="10" max="10"/>
    <col width="48" customWidth="1" min="11" max="11"/>
    <col width="40" customWidth="1" min="12" max="12"/>
    <col width="15" customWidth="1" min="13" max="13"/>
    <col width="18" customWidth="1" min="14" max="14"/>
    <col width="12" customWidth="1" min="15" max="15"/>
    <col width="14" customWidth="1" min="16" max="16"/>
    <col width="30" customWidth="1" min="17" max="17"/>
  </cols>
  <sheetData>
    <row r="1" ht="30" customHeight="1">
      <c r="A1" s="1" t="inlineStr">
        <is>
          <t>Claim–Evidence Ledger</t>
        </is>
      </c>
    </row>
    <row r="2" ht="28" customHeight="1">
      <c r="A2" s="2" t="inlineStr">
        <is>
          <t>Every load-bearing claim should have a source, an evidence type, a boundary, a qualifier where needed, and a verification decision.</t>
        </is>
      </c>
    </row>
    <row r="3">
      <c r="A3" s="9" t="inlineStr">
        <is>
          <t>Claim ID</t>
        </is>
      </c>
      <c r="B3" s="9" t="inlineStr">
        <is>
          <t>Claim / sentence</t>
        </is>
      </c>
      <c r="C3" s="9" t="inlineStr">
        <is>
          <t>Claim class</t>
        </is>
      </c>
      <c r="D3" s="9" t="inlineStr">
        <is>
          <t>Importance</t>
        </is>
      </c>
      <c r="E3" s="9" t="inlineStr">
        <is>
          <t>Evidence type</t>
        </is>
      </c>
      <c r="F3" s="9" t="inlineStr">
        <is>
          <t>Supporting manuscript evidence</t>
        </is>
      </c>
      <c r="G3" s="9" t="inlineStr">
        <is>
          <t>Key references</t>
        </is>
      </c>
      <c r="H3" s="9" t="inlineStr">
        <is>
          <t>Support status</t>
        </is>
      </c>
      <c r="I3" s="9" t="inlineStr">
        <is>
          <t>Overclaim risk</t>
        </is>
      </c>
      <c r="J3" s="9" t="inlineStr">
        <is>
          <t>Corpus / scope boundary</t>
        </is>
      </c>
      <c r="K3" s="9" t="inlineStr">
        <is>
          <t>Required qualifier or revised wording</t>
        </is>
      </c>
      <c r="L3" s="9" t="inlineStr">
        <is>
          <t>Verification task</t>
        </is>
      </c>
      <c r="M3" s="9" t="inlineStr">
        <is>
          <t>Owner</t>
        </is>
      </c>
      <c r="N3" s="9" t="inlineStr">
        <is>
          <t>Status</t>
        </is>
      </c>
      <c r="O3" s="9" t="inlineStr">
        <is>
          <t>Priority</t>
        </is>
      </c>
      <c r="P3" s="9" t="inlineStr">
        <is>
          <t>Readiness score</t>
        </is>
      </c>
      <c r="Q3" s="9" t="inlineStr">
        <is>
          <t>Notes</t>
        </is>
      </c>
    </row>
    <row r="4">
      <c r="A4" s="10" t="inlineStr">
        <is>
          <t>C01</t>
        </is>
      </c>
      <c r="B4" s="10" t="inlineStr">
        <is>
          <t>The same frequency band can encode physically different food processes.</t>
        </is>
      </c>
      <c r="C4" s="10" t="inlineStr">
        <is>
          <t>Established physical principle</t>
        </is>
      </c>
      <c r="D4" s="10" t="inlineStr">
        <is>
          <t>Core</t>
        </is>
      </c>
      <c r="E4" s="10" t="inlineStr">
        <is>
          <t>Direct measurement</t>
        </is>
      </c>
      <c r="F4" s="10" t="inlineStr">
        <is>
          <t>Figure 1 / Table 1 taxonomy</t>
        </is>
      </c>
      <c r="G4" s="10" t="inlineStr">
        <is>
          <t>1–13, 38, 48, 62–71</t>
        </is>
      </c>
      <c r="H4" s="10" t="inlineStr">
        <is>
          <t>Supported</t>
        </is>
      </c>
      <c r="I4" s="10" t="inlineStr">
        <is>
          <t>Low</t>
        </is>
      </c>
      <c r="J4" s="10" t="inlineStr">
        <is>
          <t>Across technologies; not a universal dose comparison</t>
        </is>
      </c>
      <c r="K4" s="10" t="inlineStr">
        <is>
          <t>Retain; state that bands are typical and overlapping.</t>
        </is>
      </c>
      <c r="L4" s="10" t="inlineStr">
        <is>
          <t>Verify representative references for each modality.</t>
        </is>
      </c>
      <c r="M4" s="10" t="inlineStr"/>
      <c r="N4" s="10" t="inlineStr">
        <is>
          <t>Needs verification</t>
        </is>
      </c>
      <c r="O4" s="10" t="inlineStr">
        <is>
          <t>High</t>
        </is>
      </c>
      <c r="P4" s="10" t="n">
        <v>3</v>
      </c>
      <c r="Q4" s="10" t="inlineStr"/>
    </row>
    <row r="5">
      <c r="A5" s="10" t="inlineStr">
        <is>
          <t>C02</t>
        </is>
      </c>
      <c r="B5" s="10" t="inlineStr">
        <is>
          <t>Nominal frequency, dB, generator power and time do not uniquely define receiver exposure.</t>
        </is>
      </c>
      <c r="C5" s="10" t="inlineStr">
        <is>
          <t>Established + inference</t>
        </is>
      </c>
      <c r="D5" s="10" t="inlineStr">
        <is>
          <t>Core</t>
        </is>
      </c>
      <c r="E5" s="10" t="inlineStr">
        <is>
          <t>Direct measurement</t>
        </is>
      </c>
      <c r="F5" s="10" t="inlineStr">
        <is>
          <t>Equations / source-to-shelf chain</t>
        </is>
      </c>
      <c r="G5" s="10" t="inlineStr">
        <is>
          <t>10–13, 62–70</t>
        </is>
      </c>
      <c r="H5" s="10" t="inlineStr">
        <is>
          <t>Supported</t>
        </is>
      </c>
      <c r="I5" s="10" t="inlineStr">
        <is>
          <t>Low</t>
        </is>
      </c>
      <c r="J5" s="10" t="inlineStr">
        <is>
          <t>Route-specific; receiver variable differs by modality</t>
        </is>
      </c>
      <c r="K5" s="10" t="inlineStr">
        <is>
          <t>Retain.</t>
        </is>
      </c>
      <c r="L5" s="10" t="inlineStr">
        <is>
          <t>Check all equations and units.</t>
        </is>
      </c>
      <c r="M5" s="10" t="inlineStr"/>
      <c r="N5" s="10" t="inlineStr">
        <is>
          <t>Needs verification</t>
        </is>
      </c>
      <c r="O5" s="10" t="inlineStr">
        <is>
          <t>High</t>
        </is>
      </c>
      <c r="P5" s="10" t="n">
        <v>3</v>
      </c>
      <c r="Q5" s="10" t="inlineStr"/>
    </row>
    <row r="6">
      <c r="A6" s="10" t="inlineStr">
        <is>
          <t>C03</t>
        </is>
      </c>
      <c r="B6" s="10" t="inlineStr">
        <is>
          <t>Fruit is an evolving mechanical receiver whose transfer function changes with state.</t>
        </is>
      </c>
      <c r="C6" s="10" t="inlineStr">
        <is>
          <t>Supported inference</t>
        </is>
      </c>
      <c r="D6" s="10" t="inlineStr">
        <is>
          <t>Core</t>
        </is>
      </c>
      <c r="E6" s="10" t="inlineStr">
        <is>
          <t>Supported association</t>
        </is>
      </c>
      <c r="F6" s="10" t="inlineStr">
        <is>
          <t>Section 3.3; Figure 2</t>
        </is>
      </c>
      <c r="G6" s="10" t="inlineStr">
        <is>
          <t>14–25, 75–84</t>
        </is>
      </c>
      <c r="H6" s="10" t="inlineStr">
        <is>
          <t>Supported</t>
        </is>
      </c>
      <c r="I6" s="10" t="inlineStr">
        <is>
          <t>Medium</t>
        </is>
      </c>
      <c r="J6" s="10" t="inlineStr">
        <is>
          <t>Mechanical characterization; not proof that actuation improves quality</t>
        </is>
      </c>
      <c r="K6" s="10" t="inlineStr">
        <is>
          <t>Use “changes with state” and avoid universal resonance claims.</t>
        </is>
      </c>
      <c r="L6" s="10" t="inlineStr">
        <is>
          <t>Verify commodity-specific evidence.</t>
        </is>
      </c>
      <c r="M6" s="10" t="inlineStr"/>
      <c r="N6" s="10" t="inlineStr">
        <is>
          <t>Needs verification</t>
        </is>
      </c>
      <c r="O6" s="10" t="inlineStr">
        <is>
          <t>High</t>
        </is>
      </c>
      <c r="P6" s="10" t="n">
        <v>3</v>
      </c>
      <c r="Q6" s="10" t="inlineStr"/>
    </row>
    <row r="7">
      <c r="A7" s="10" t="inlineStr">
        <is>
          <t>C04</t>
        </is>
      </c>
      <c r="B7" s="10" t="inlineStr">
        <is>
          <t>Modal features can track firmness or maturity in selected commodities.</t>
        </is>
      </c>
      <c r="C7" s="10" t="inlineStr">
        <is>
          <t>Established in bounded systems</t>
        </is>
      </c>
      <c r="D7" s="10" t="inlineStr">
        <is>
          <t>Supporting</t>
        </is>
      </c>
      <c r="E7" s="10" t="inlineStr">
        <is>
          <t>Direct measurement</t>
        </is>
      </c>
      <c r="F7" s="10" t="inlineStr">
        <is>
          <t>Sensing comparator section</t>
        </is>
      </c>
      <c r="G7" s="10" t="inlineStr">
        <is>
          <t>14–25, 75–84</t>
        </is>
      </c>
      <c r="H7" s="10" t="inlineStr">
        <is>
          <t>Supported</t>
        </is>
      </c>
      <c r="I7" s="10" t="inlineStr">
        <is>
          <t>Low</t>
        </is>
      </c>
      <c r="J7" s="10" t="inlineStr">
        <is>
          <t>Commodity- and geometry-specific</t>
        </is>
      </c>
      <c r="K7" s="10" t="inlineStr">
        <is>
          <t>Add “selected commodities and configurations.”</t>
        </is>
      </c>
      <c r="L7" s="10" t="inlineStr">
        <is>
          <t>Verify external validation and negative results.</t>
        </is>
      </c>
      <c r="M7" s="10" t="inlineStr"/>
      <c r="N7" s="10" t="inlineStr">
        <is>
          <t>Needs verification</t>
        </is>
      </c>
      <c r="O7" s="10" t="inlineStr">
        <is>
          <t>Medium</t>
        </is>
      </c>
      <c r="P7" s="10" t="n">
        <v>3</v>
      </c>
      <c r="Q7" s="10" t="inlineStr"/>
    </row>
    <row r="8">
      <c r="A8" s="10" t="inlineStr">
        <is>
          <t>C05</t>
        </is>
      </c>
      <c r="B8" s="10" t="inlineStr">
        <is>
          <t>Driving a measured fruit mode has not been shown to improve shelf quality.</t>
        </is>
      </c>
      <c r="C8" s="10" t="inlineStr">
        <is>
          <t>Absence / boundary claim</t>
        </is>
      </c>
      <c r="D8" s="10" t="inlineStr">
        <is>
          <t>Core</t>
        </is>
      </c>
      <c r="E8" s="10" t="inlineStr">
        <is>
          <t>Evidence-based inference</t>
        </is>
      </c>
      <c r="F8" s="10" t="inlineStr">
        <is>
          <t>Sensing-versus-actuation distinction</t>
        </is>
      </c>
      <c r="G8" s="10" t="inlineStr">
        <is>
          <t>14–25, 75–84</t>
        </is>
      </c>
      <c r="H8" s="10" t="inlineStr">
        <is>
          <t>Partial</t>
        </is>
      </c>
      <c r="I8" s="10" t="inlineStr">
        <is>
          <t>Medium</t>
        </is>
      </c>
      <c r="J8" s="10" t="inlineStr">
        <is>
          <t>Retained corpus and cited comparator literature</t>
        </is>
      </c>
      <c r="K8" s="10" t="inlineStr">
        <is>
          <t>Use “the reviewed evidence does not establish…”</t>
        </is>
      </c>
      <c r="L8" s="10" t="inlineStr">
        <is>
          <t>Search specifically for mode-targeted intervention studies.</t>
        </is>
      </c>
      <c r="M8" s="10" t="inlineStr"/>
      <c r="N8" s="10" t="inlineStr">
        <is>
          <t>Needs verification</t>
        </is>
      </c>
      <c r="O8" s="10" t="inlineStr">
        <is>
          <t>Critical</t>
        </is>
      </c>
      <c r="P8" s="10" t="n">
        <v>2</v>
      </c>
      <c r="Q8" s="10" t="inlineStr"/>
    </row>
    <row r="9">
      <c r="A9" s="10" t="inlineStr">
        <is>
          <t>C06</t>
        </is>
      </c>
      <c r="B9" s="10" t="inlineStr">
        <is>
          <t>Among seven retained airborne-fruit studies, none measured fruit motion.</t>
        </is>
      </c>
      <c r="C9" s="10" t="inlineStr">
        <is>
          <t>Corpus-bounded quantitative finding</t>
        </is>
      </c>
      <c r="D9" s="10" t="inlineStr">
        <is>
          <t>Core</t>
        </is>
      </c>
      <c r="E9" s="10" t="inlineStr">
        <is>
          <t>Direct extraction</t>
        </is>
      </c>
      <c r="F9" s="10" t="inlineStr">
        <is>
          <t>Table 2 / Figure 3 / S3</t>
        </is>
      </c>
      <c r="G9" s="10" t="inlineStr">
        <is>
          <t>26–30, 32–33</t>
        </is>
      </c>
      <c r="H9" s="10" t="inlineStr">
        <is>
          <t>Partial</t>
        </is>
      </c>
      <c r="I9" s="10" t="inlineStr">
        <is>
          <t>High</t>
        </is>
      </c>
      <c r="J9" s="10" t="inlineStr">
        <is>
          <t>Only the retained corpus under the final protocol</t>
        </is>
      </c>
      <c r="K9" s="10" t="inlineStr">
        <is>
          <t>Use “none of the seven studies retained here…”</t>
        </is>
      </c>
      <c r="L9" s="10" t="inlineStr">
        <is>
          <t>Complete search, full-text verification and second-reviewer check.</t>
        </is>
      </c>
      <c r="M9" s="10" t="inlineStr"/>
      <c r="N9" s="10" t="inlineStr">
        <is>
          <t>Needs verification</t>
        </is>
      </c>
      <c r="O9" s="10" t="inlineStr">
        <is>
          <t>Critical</t>
        </is>
      </c>
      <c r="P9" s="10" t="n">
        <v>2</v>
      </c>
      <c r="Q9" s="10" t="inlineStr"/>
    </row>
    <row r="10">
      <c r="A10" s="10" t="inlineStr">
        <is>
          <t>C07</t>
        </is>
      </c>
      <c r="B10" s="10" t="inlineStr">
        <is>
          <t>Among seven retained studies, none isolated support-mediated transfer.</t>
        </is>
      </c>
      <c r="C10" s="10" t="inlineStr">
        <is>
          <t>Corpus-bounded quantitative finding</t>
        </is>
      </c>
      <c r="D10" s="10" t="inlineStr">
        <is>
          <t>Core</t>
        </is>
      </c>
      <c r="E10" s="10" t="inlineStr">
        <is>
          <t>Direct extraction</t>
        </is>
      </c>
      <c r="F10" s="10" t="inlineStr">
        <is>
          <t>Table 2 / Figure 3 / S3</t>
        </is>
      </c>
      <c r="G10" s="10" t="inlineStr">
        <is>
          <t>26–30, 32–33</t>
        </is>
      </c>
      <c r="H10" s="10" t="inlineStr">
        <is>
          <t>Partial</t>
        </is>
      </c>
      <c r="I10" s="10" t="inlineStr">
        <is>
          <t>High</t>
        </is>
      </c>
      <c r="J10" s="10" t="inlineStr">
        <is>
          <t>Only the retained corpus</t>
        </is>
      </c>
      <c r="K10" s="10" t="inlineStr">
        <is>
          <t>Same corpus-bounded qualifier.</t>
        </is>
      </c>
      <c r="L10" s="10" t="inlineStr">
        <is>
          <t>Complete coding and source-page log.</t>
        </is>
      </c>
      <c r="M10" s="10" t="inlineStr"/>
      <c r="N10" s="10" t="inlineStr">
        <is>
          <t>Needs verification</t>
        </is>
      </c>
      <c r="O10" s="10" t="inlineStr">
        <is>
          <t>Critical</t>
        </is>
      </c>
      <c r="P10" s="10" t="n">
        <v>2</v>
      </c>
      <c r="Q10" s="10" t="inlineStr"/>
    </row>
    <row r="11">
      <c r="A11" s="10" t="inlineStr">
        <is>
          <t>C08</t>
        </is>
      </c>
      <c r="B11" s="10" t="inlineStr">
        <is>
          <t>Among seven retained studies, none externally validated exposure–quality transfer.</t>
        </is>
      </c>
      <c r="C11" s="10" t="inlineStr">
        <is>
          <t>Corpus-bounded quantitative finding</t>
        </is>
      </c>
      <c r="D11" s="10" t="inlineStr">
        <is>
          <t>Core</t>
        </is>
      </c>
      <c r="E11" s="10" t="inlineStr">
        <is>
          <t>Direct extraction</t>
        </is>
      </c>
      <c r="F11" s="10" t="inlineStr">
        <is>
          <t>Table 2 / Figure 3 / S3</t>
        </is>
      </c>
      <c r="G11" s="10" t="inlineStr">
        <is>
          <t>26–30, 32–33</t>
        </is>
      </c>
      <c r="H11" s="10" t="inlineStr">
        <is>
          <t>Partial</t>
        </is>
      </c>
      <c r="I11" s="10" t="inlineStr">
        <is>
          <t>High</t>
        </is>
      </c>
      <c r="J11" s="10" t="inlineStr">
        <is>
          <t>Only the retained corpus</t>
        </is>
      </c>
      <c r="K11" s="10" t="inlineStr">
        <is>
          <t>Same corpus-bounded qualifier.</t>
        </is>
      </c>
      <c r="L11" s="10" t="inlineStr">
        <is>
          <t>Verify no external replication / transfer in full texts.</t>
        </is>
      </c>
      <c r="M11" s="10" t="inlineStr"/>
      <c r="N11" s="10" t="inlineStr">
        <is>
          <t>Needs verification</t>
        </is>
      </c>
      <c r="O11" s="10" t="inlineStr">
        <is>
          <t>Critical</t>
        </is>
      </c>
      <c r="P11" s="10" t="n">
        <v>2</v>
      </c>
      <c r="Q11" s="10" t="inlineStr"/>
    </row>
    <row r="12">
      <c r="A12" s="10" t="inlineStr">
        <is>
          <t>C09</t>
        </is>
      </c>
      <c r="B12" s="10" t="inlineStr">
        <is>
          <t>The detached-tomato papers form a connected evidence lineage rather than independent replication.</t>
        </is>
      </c>
      <c r="C12" s="10" t="inlineStr">
        <is>
          <t>Evidence-based inference</t>
        </is>
      </c>
      <c r="D12" s="10" t="inlineStr">
        <is>
          <t>Core</t>
        </is>
      </c>
      <c r="E12" s="10" t="inlineStr">
        <is>
          <t>Authorship / protocol comparison</t>
        </is>
      </c>
      <c r="F12" s="10" t="inlineStr">
        <is>
          <t>Section 4.1</t>
        </is>
      </c>
      <c r="G12" s="10" t="inlineStr">
        <is>
          <t>26–30</t>
        </is>
      </c>
      <c r="H12" s="10" t="inlineStr">
        <is>
          <t>Supported</t>
        </is>
      </c>
      <c r="I12" s="10" t="inlineStr">
        <is>
          <t>Medium</t>
        </is>
      </c>
      <c r="J12" s="10" t="inlineStr">
        <is>
          <t>Connected investigators, material and treatment logic</t>
        </is>
      </c>
      <c r="K12" s="10" t="inlineStr">
        <is>
          <t>Use neutral wording; do not diminish observed outcomes.</t>
        </is>
      </c>
      <c r="L12" s="10" t="inlineStr">
        <is>
          <t>Check author and protocol overlap.</t>
        </is>
      </c>
      <c r="M12" s="10" t="inlineStr"/>
      <c r="N12" s="10" t="inlineStr">
        <is>
          <t>Needs verification</t>
        </is>
      </c>
      <c r="O12" s="10" t="inlineStr">
        <is>
          <t>High</t>
        </is>
      </c>
      <c r="P12" s="10" t="n">
        <v>3</v>
      </c>
      <c r="Q12" s="10" t="inlineStr"/>
    </row>
    <row r="13">
      <c r="A13" s="10" t="inlineStr">
        <is>
          <t>C10</t>
        </is>
      </c>
      <c r="B13" s="10" t="inlineStr">
        <is>
          <t>Different nominal dB values within the lineage do not reconstruct equivalent fruit exposure.</t>
        </is>
      </c>
      <c r="C13" s="10" t="inlineStr">
        <is>
          <t>Established physical principle applied to studies</t>
        </is>
      </c>
      <c r="D13" s="10" t="inlineStr">
        <is>
          <t>Supporting</t>
        </is>
      </c>
      <c r="E13" s="10" t="inlineStr">
        <is>
          <t>Direct extraction + inference</t>
        </is>
      </c>
      <c r="F13" s="10" t="inlineStr">
        <is>
          <t>Section 4.1</t>
        </is>
      </c>
      <c r="G13" s="10" t="inlineStr">
        <is>
          <t>28, 30</t>
        </is>
      </c>
      <c r="H13" s="10" t="inlineStr">
        <is>
          <t>Supported</t>
        </is>
      </c>
      <c r="I13" s="10" t="inlineStr">
        <is>
          <t>Low</t>
        </is>
      </c>
      <c r="J13" s="10" t="inlineStr">
        <is>
          <t>80 versus 100 dB are source-side labels</t>
        </is>
      </c>
      <c r="K13" s="10" t="inlineStr">
        <is>
          <t>Retain.</t>
        </is>
      </c>
      <c r="L13" s="10" t="inlineStr">
        <is>
          <t>Verify reported source levels and measurement locations.</t>
        </is>
      </c>
      <c r="M13" s="10" t="inlineStr"/>
      <c r="N13" s="10" t="inlineStr">
        <is>
          <t>Needs verification</t>
        </is>
      </c>
      <c r="O13" s="10" t="inlineStr">
        <is>
          <t>High</t>
        </is>
      </c>
      <c r="P13" s="10" t="n">
        <v>3</v>
      </c>
      <c r="Q13" s="10" t="inlineStr"/>
    </row>
    <row r="14">
      <c r="A14" s="10" t="inlineStr">
        <is>
          <t>C11</t>
        </is>
      </c>
      <c r="B14" s="10" t="inlineStr">
        <is>
          <t>Firmness alone cannot establish cell-wall preservation.</t>
        </is>
      </c>
      <c r="C14" s="10" t="inlineStr">
        <is>
          <t>Critical interpretation</t>
        </is>
      </c>
      <c r="D14" s="10" t="inlineStr">
        <is>
          <t>Supporting</t>
        </is>
      </c>
      <c r="E14" s="10" t="inlineStr">
        <is>
          <t>Comparative evidence</t>
        </is>
      </c>
      <c r="F14" s="10" t="inlineStr">
        <is>
          <t>Section 4.4 / contradiction matrix</t>
        </is>
      </c>
      <c r="G14" s="10" t="inlineStr">
        <is>
          <t>58–61, 92–94</t>
        </is>
      </c>
      <c r="H14" s="10" t="inlineStr">
        <is>
          <t>Supported</t>
        </is>
      </c>
      <c r="I14" s="10" t="inlineStr">
        <is>
          <t>Low</t>
        </is>
      </c>
      <c r="J14" s="10" t="inlineStr">
        <is>
          <t>Firmness integrates multiple structures and states</t>
        </is>
      </c>
      <c r="K14" s="10" t="inlineStr">
        <is>
          <t>Retain.</t>
        </is>
      </c>
      <c r="L14" s="10" t="inlineStr">
        <is>
          <t>Check that cited studies support contrasting mechanisms.</t>
        </is>
      </c>
      <c r="M14" s="10" t="inlineStr"/>
      <c r="N14" s="10" t="inlineStr">
        <is>
          <t>Needs verification</t>
        </is>
      </c>
      <c r="O14" s="10" t="inlineStr">
        <is>
          <t>High</t>
        </is>
      </c>
      <c r="P14" s="10" t="n">
        <v>3</v>
      </c>
      <c r="Q14" s="10" t="inlineStr"/>
    </row>
    <row r="15">
      <c r="A15" s="10" t="inlineStr">
        <is>
          <t>C12</t>
        </is>
      </c>
      <c r="B15" s="10" t="inlineStr">
        <is>
          <t>Mechanosensitive calcium/redox pathways are biologically plausible but unproven as the route in intact fruit.</t>
        </is>
      </c>
      <c r="C15" s="10" t="inlineStr">
        <is>
          <t>Hypothesis boundary</t>
        </is>
      </c>
      <c r="D15" s="10" t="inlineStr">
        <is>
          <t>Core</t>
        </is>
      </c>
      <c r="E15" s="10" t="inlineStr">
        <is>
          <t>Supported association</t>
        </is>
      </c>
      <c r="F15" s="10" t="inlineStr">
        <is>
          <t>Section 4.5</t>
        </is>
      </c>
      <c r="G15" s="10" t="inlineStr">
        <is>
          <t>85–90</t>
        </is>
      </c>
      <c r="H15" s="10" t="inlineStr">
        <is>
          <t>Supported</t>
        </is>
      </c>
      <c r="I15" s="10" t="inlineStr">
        <is>
          <t>Low</t>
        </is>
      </c>
      <c r="J15" s="10" t="inlineStr">
        <is>
          <t>Cell / plant plausibility does not establish intact-fruit strain</t>
        </is>
      </c>
      <c r="K15" s="10" t="inlineStr">
        <is>
          <t>Retain conditional wording.</t>
        </is>
      </c>
      <c r="L15" s="10" t="inlineStr">
        <is>
          <t>Verify exact mechanistic scope of each source.</t>
        </is>
      </c>
      <c r="M15" s="10" t="inlineStr"/>
      <c r="N15" s="10" t="inlineStr">
        <is>
          <t>Needs verification</t>
        </is>
      </c>
      <c r="O15" s="10" t="inlineStr">
        <is>
          <t>High</t>
        </is>
      </c>
      <c r="P15" s="10" t="n">
        <v>3</v>
      </c>
      <c r="Q15" s="10" t="inlineStr"/>
    </row>
    <row r="16">
      <c r="A16" s="10" t="inlineStr">
        <is>
          <t>C13</t>
        </is>
      </c>
      <c r="B16" s="10" t="inlineStr">
        <is>
          <t>Receiver exposure should initially remain a vector rather than a universal scalar dose.</t>
        </is>
      </c>
      <c r="C16" s="10" t="inlineStr">
        <is>
          <t>Conceptual proposal</t>
        </is>
      </c>
      <c r="D16" s="10" t="inlineStr">
        <is>
          <t>Core</t>
        </is>
      </c>
      <c r="E16" s="10" t="inlineStr">
        <is>
          <t>Mechanistic reasoning</t>
        </is>
      </c>
      <c r="F16" s="10" t="inlineStr">
        <is>
          <t>Section 3.2</t>
        </is>
      </c>
      <c r="G16" s="10" t="inlineStr">
        <is>
          <t>Physics + cross-domain evidence</t>
        </is>
      </c>
      <c r="H16" s="10" t="inlineStr">
        <is>
          <t>Supported</t>
        </is>
      </c>
      <c r="I16" s="10" t="inlineStr">
        <is>
          <t>Medium</t>
        </is>
      </c>
      <c r="J16" s="10" t="inlineStr">
        <is>
          <t>Until a mechanism-specific predictor is validated</t>
        </is>
      </c>
      <c r="K16" s="10" t="inlineStr">
        <is>
          <t>Use “should initially remain…”</t>
        </is>
      </c>
      <c r="L16" s="10" t="inlineStr">
        <is>
          <t>Justify each vector component and avoid implying validation.</t>
        </is>
      </c>
      <c r="M16" s="10" t="inlineStr"/>
      <c r="N16" s="10" t="inlineStr">
        <is>
          <t>Needs revision</t>
        </is>
      </c>
      <c r="O16" s="10" t="inlineStr">
        <is>
          <t>High</t>
        </is>
      </c>
      <c r="P16" s="10" t="n">
        <v>3</v>
      </c>
      <c r="Q16" s="10" t="inlineStr"/>
    </row>
    <row r="17">
      <c r="A17" s="10" t="inlineStr">
        <is>
          <t>C14</t>
        </is>
      </c>
      <c r="B17" s="10" t="inlineStr">
        <is>
          <t>Surface vibrometry measures surface velocity, not internal tissue strain.</t>
        </is>
      </c>
      <c r="C17" s="10" t="inlineStr">
        <is>
          <t>Established measurement limitation</t>
        </is>
      </c>
      <c r="D17" s="10" t="inlineStr">
        <is>
          <t>Core</t>
        </is>
      </c>
      <c r="E17" s="10" t="inlineStr">
        <is>
          <t>Direct measurement principle</t>
        </is>
      </c>
      <c r="F17" s="10" t="inlineStr">
        <is>
          <t>Section 3.3</t>
        </is>
      </c>
      <c r="G17" s="10" t="inlineStr">
        <is>
          <t>14–25</t>
        </is>
      </c>
      <c r="H17" s="10" t="inlineStr">
        <is>
          <t>Supported</t>
        </is>
      </c>
      <c r="I17" s="10" t="inlineStr">
        <is>
          <t>Low</t>
        </is>
      </c>
      <c r="J17" s="10" t="inlineStr">
        <is>
          <t>Internal strain requires model validation</t>
        </is>
      </c>
      <c r="K17" s="10" t="inlineStr">
        <is>
          <t>Retain exact distinction.</t>
        </is>
      </c>
      <c r="L17" s="10" t="inlineStr">
        <is>
          <t>Add uncertainty and calibration requirements.</t>
        </is>
      </c>
      <c r="M17" s="10" t="inlineStr"/>
      <c r="N17" s="10" t="inlineStr">
        <is>
          <t>Needs verification</t>
        </is>
      </c>
      <c r="O17" s="10" t="inlineStr">
        <is>
          <t>High</t>
        </is>
      </c>
      <c r="P17" s="10" t="n">
        <v>4</v>
      </c>
      <c r="Q17" s="10" t="inlineStr"/>
    </row>
    <row r="18">
      <c r="A18" s="10" t="inlineStr">
        <is>
          <t>C15</t>
        </is>
      </c>
      <c r="B18" s="10" t="inlineStr">
        <is>
          <t>Sentinel fruit plus batch-state sensing is a practical near-term architecture.</t>
        </is>
      </c>
      <c r="C18" s="10" t="inlineStr">
        <is>
          <t>Design hypothesis</t>
        </is>
      </c>
      <c r="D18" s="10" t="inlineStr">
        <is>
          <t>Supporting</t>
        </is>
      </c>
      <c r="E18" s="10" t="inlineStr">
        <is>
          <t>Evidence-based inference</t>
        </is>
      </c>
      <c r="F18" s="10" t="inlineStr">
        <is>
          <t>Section 3.4 / S2</t>
        </is>
      </c>
      <c r="G18" s="10" t="inlineStr">
        <is>
          <t>109 and sensing literature</t>
        </is>
      </c>
      <c r="H18" s="10" t="inlineStr">
        <is>
          <t>Partial</t>
        </is>
      </c>
      <c r="I18" s="10" t="inlineStr">
        <is>
          <t>Medium</t>
        </is>
      </c>
      <c r="J18" s="10" t="inlineStr">
        <is>
          <t>Proposed architecture; not demonstrated for acoustic intervention</t>
        </is>
      </c>
      <c r="K18" s="10" t="inlineStr">
        <is>
          <t>Use “proposed practical near-term architecture.”</t>
        </is>
      </c>
      <c r="L18" s="10" t="inlineStr">
        <is>
          <t>Define minimum sentinel validation experiment.</t>
        </is>
      </c>
      <c r="M18" s="10" t="inlineStr"/>
      <c r="N18" s="10" t="inlineStr">
        <is>
          <t>Needs revision</t>
        </is>
      </c>
      <c r="O18" s="10" t="inlineStr">
        <is>
          <t>Medium</t>
        </is>
      </c>
      <c r="P18" s="10" t="n">
        <v>2</v>
      </c>
      <c r="Q18" s="10" t="inlineStr"/>
    </row>
    <row r="19">
      <c r="A19" s="10" t="inlineStr">
        <is>
          <t>C16</t>
        </is>
      </c>
      <c r="B19" s="10" t="inlineStr">
        <is>
          <t>The Receiver-Centred Exposure Passport is a proposed reporting framework, not a validated standard.</t>
        </is>
      </c>
      <c r="C19" s="10" t="inlineStr">
        <is>
          <t>Framework boundary</t>
        </is>
      </c>
      <c r="D19" s="10" t="inlineStr">
        <is>
          <t>Core</t>
        </is>
      </c>
      <c r="E19" s="10" t="inlineStr">
        <is>
          <t>Conceptual proposal</t>
        </is>
      </c>
      <c r="F19" s="10" t="inlineStr">
        <is>
          <t>Section 6.1 / S4</t>
        </is>
      </c>
      <c r="G19" s="10" t="inlineStr">
        <is>
          <t>Review synthesis</t>
        </is>
      </c>
      <c r="H19" s="10" t="inlineStr">
        <is>
          <t>Supported</t>
        </is>
      </c>
      <c r="I19" s="10" t="inlineStr">
        <is>
          <t>Low</t>
        </is>
      </c>
      <c r="J19" s="10" t="inlineStr">
        <is>
          <t>Must be tested for reconstructability</t>
        </is>
      </c>
      <c r="K19" s="10" t="inlineStr">
        <is>
          <t>Add “proposed” in captions and text.</t>
        </is>
      </c>
      <c r="L19" s="10" t="inlineStr">
        <is>
          <t>Pilot with external laboratory reconstruction.</t>
        </is>
      </c>
      <c r="M19" s="10" t="inlineStr"/>
      <c r="N19" s="10" t="inlineStr">
        <is>
          <t>Complete</t>
        </is>
      </c>
      <c r="O19" s="10" t="inlineStr">
        <is>
          <t>High</t>
        </is>
      </c>
      <c r="P19" s="10" t="n">
        <v>4</v>
      </c>
      <c r="Q19" s="10" t="inlineStr"/>
    </row>
    <row r="20">
      <c r="A20" s="10" t="inlineStr">
        <is>
          <t>C17</t>
        </is>
      </c>
      <c r="B20" s="10" t="inlineStr">
        <is>
          <t>The Acoustic Operating Window adapts design-space logic but does not inherit pharmaceutical regulatory status.</t>
        </is>
      </c>
      <c r="C20" s="10" t="inlineStr">
        <is>
          <t>Analogy boundary</t>
        </is>
      </c>
      <c r="D20" s="10" t="inlineStr">
        <is>
          <t>Supporting</t>
        </is>
      </c>
      <c r="E20" s="10" t="inlineStr">
        <is>
          <t>Evidence-based inference</t>
        </is>
      </c>
      <c r="F20" s="10" t="inlineStr">
        <is>
          <t>Section 6.2</t>
        </is>
      </c>
      <c r="G20" s="10" t="inlineStr">
        <is>
          <t>127</t>
        </is>
      </c>
      <c r="H20" s="10" t="inlineStr">
        <is>
          <t>Supported</t>
        </is>
      </c>
      <c r="I20" s="10" t="inlineStr">
        <is>
          <t>Low</t>
        </is>
      </c>
      <c r="J20" s="10" t="inlineStr">
        <is>
          <t>Engineering analogy only</t>
        </is>
      </c>
      <c r="K20" s="10" t="inlineStr">
        <is>
          <t>Retain explicit disclaimer.</t>
        </is>
      </c>
      <c r="L20" s="10" t="inlineStr">
        <is>
          <t>Verify ICH wording and citation.</t>
        </is>
      </c>
      <c r="M20" s="10" t="inlineStr"/>
      <c r="N20" s="10" t="inlineStr">
        <is>
          <t>Needs verification</t>
        </is>
      </c>
      <c r="O20" s="10" t="inlineStr">
        <is>
          <t>Medium</t>
        </is>
      </c>
      <c r="P20" s="10" t="n">
        <v>3</v>
      </c>
      <c r="Q20" s="10" t="inlineStr"/>
    </row>
    <row r="21">
      <c r="A21" s="10" t="inlineStr">
        <is>
          <t>C18</t>
        </is>
      </c>
      <c r="B21" s="10" t="inlineStr">
        <is>
          <t>Receiver equivalence can define process transfer if matched exposure predicts matched shelf trajectories.</t>
        </is>
      </c>
      <c r="C21" s="10" t="inlineStr">
        <is>
          <t>Testable hypothesis</t>
        </is>
      </c>
      <c r="D21" s="10" t="inlineStr">
        <is>
          <t>Core</t>
        </is>
      </c>
      <c r="E21" s="10" t="inlineStr">
        <is>
          <t>Testable hypothesis</t>
        </is>
      </c>
      <c r="F21" s="10" t="inlineStr">
        <is>
          <t>Section 6.3 / Figure 4</t>
        </is>
      </c>
      <c r="G21" s="10" t="inlineStr">
        <is>
          <t>Proposed</t>
        </is>
      </c>
      <c r="H21" s="10" t="inlineStr">
        <is>
          <t>Partial</t>
        </is>
      </c>
      <c r="I21" s="10" t="inlineStr">
        <is>
          <t>Medium</t>
        </is>
      </c>
      <c r="J21" s="10" t="inlineStr">
        <is>
          <t>Not yet experimentally validated</t>
        </is>
      </c>
      <c r="K21" s="10" t="inlineStr">
        <is>
          <t>Use conditional and define failure criterion.</t>
        </is>
      </c>
      <c r="L21" s="10" t="inlineStr">
        <is>
          <t>Design motion-clamped external-validation study.</t>
        </is>
      </c>
      <c r="M21" s="10" t="inlineStr"/>
      <c r="N21" s="10" t="inlineStr">
        <is>
          <t>In progress</t>
        </is>
      </c>
      <c r="O21" s="10" t="inlineStr">
        <is>
          <t>Critical</t>
        </is>
      </c>
      <c r="P21" s="10" t="n">
        <v>2</v>
      </c>
      <c r="Q21" s="10" t="inlineStr"/>
    </row>
    <row r="22">
      <c r="A22" s="10" t="inlineStr">
        <is>
          <t>C19</t>
        </is>
      </c>
      <c r="B22" s="10" t="inlineStr">
        <is>
          <t>Deployment appears more advanced where transfer paths are observable and calibratable.</t>
        </is>
      </c>
      <c r="C22" s="10" t="inlineStr">
        <is>
          <t>Evidence-based inference</t>
        </is>
      </c>
      <c r="D22" s="10" t="inlineStr">
        <is>
          <t>Supporting</t>
        </is>
      </c>
      <c r="E22" s="10" t="inlineStr">
        <is>
          <t>Evidence-based inference</t>
        </is>
      </c>
      <c r="F22" s="10" t="inlineStr">
        <is>
          <t>Comparators / industrial section</t>
        </is>
      </c>
      <c r="G22" s="10" t="inlineStr">
        <is>
          <t>Selected literature + vendor</t>
        </is>
      </c>
      <c r="H22" s="10" t="inlineStr">
        <is>
          <t>Partial</t>
        </is>
      </c>
      <c r="I22" s="10" t="inlineStr">
        <is>
          <t>High</t>
        </is>
      </c>
      <c r="J22" s="10" t="inlineStr">
        <is>
          <t>Not a systematic industrial maturity analysis</t>
        </is>
      </c>
      <c r="K22" s="10" t="inlineStr">
        <is>
          <t>Use “reviewed examples suggest…”</t>
        </is>
      </c>
      <c r="L22" s="10" t="inlineStr">
        <is>
          <t>Add maturity criteria or soften claim.</t>
        </is>
      </c>
      <c r="M22" s="10" t="inlineStr"/>
      <c r="N22" s="10" t="inlineStr">
        <is>
          <t>Needs revision</t>
        </is>
      </c>
      <c r="O22" s="10" t="inlineStr">
        <is>
          <t>High</t>
        </is>
      </c>
      <c r="P22" s="10" t="n">
        <v>2</v>
      </c>
      <c r="Q22" s="10" t="inlineStr"/>
    </row>
    <row r="23">
      <c r="A23" s="10" t="inlineStr">
        <is>
          <t>C20</t>
        </is>
      </c>
      <c r="B23" s="10" t="inlineStr">
        <is>
          <t>A receiver-metrology platform may create value before a universal intervention is validated.</t>
        </is>
      </c>
      <c r="C23" s="10" t="inlineStr">
        <is>
          <t>Commercial hypothesis</t>
        </is>
      </c>
      <c r="D23" s="10" t="inlineStr">
        <is>
          <t>Supporting</t>
        </is>
      </c>
      <c r="E23" s="10" t="inlineStr">
        <is>
          <t>Speculation</t>
        </is>
      </c>
      <c r="F23" s="10" t="inlineStr">
        <is>
          <t>Section 7.4</t>
        </is>
      </c>
      <c r="G23" s="10" t="inlineStr">
        <is>
          <t>Design inference</t>
        </is>
      </c>
      <c r="H23" s="10" t="inlineStr">
        <is>
          <t>Partial</t>
        </is>
      </c>
      <c r="I23" s="10" t="inlineStr">
        <is>
          <t>Medium</t>
        </is>
      </c>
      <c r="J23" s="10" t="inlineStr">
        <is>
          <t>Strategic proposition, not market evidence</t>
        </is>
      </c>
      <c r="K23" s="10" t="inlineStr">
        <is>
          <t>Label as opportunity / hypothesis.</t>
        </is>
      </c>
      <c r="L23" s="10" t="inlineStr">
        <is>
          <t>Validate stakeholder need and economic value.</t>
        </is>
      </c>
      <c r="M23" s="10" t="inlineStr"/>
      <c r="N23" s="10" t="inlineStr">
        <is>
          <t>Needs revision</t>
        </is>
      </c>
      <c r="O23" s="10" t="inlineStr">
        <is>
          <t>Medium</t>
        </is>
      </c>
      <c r="P23" s="10" t="n">
        <v>2</v>
      </c>
      <c r="Q23" s="10" t="inlineStr"/>
    </row>
    <row r="24">
      <c r="A24" s="10" t="inlineStr">
        <is>
          <t>C21</t>
        </is>
      </c>
      <c r="B24" s="10" t="inlineStr">
        <is>
          <t>A closed-loop acoustic digital twin for intact-fruit treatment has not been demonstrated.</t>
        </is>
      </c>
      <c r="C24" s="10" t="inlineStr">
        <is>
          <t>Absence / boundary claim</t>
        </is>
      </c>
      <c r="D24" s="10" t="inlineStr">
        <is>
          <t>Supporting</t>
        </is>
      </c>
      <c r="E24" s="10" t="inlineStr">
        <is>
          <t>Review synthesis</t>
        </is>
      </c>
      <c r="F24" s="10" t="inlineStr">
        <is>
          <t>Section 7.5</t>
        </is>
      </c>
      <c r="G24" s="10" t="inlineStr">
        <is>
          <t>97–123</t>
        </is>
      </c>
      <c r="H24" s="10" t="inlineStr">
        <is>
          <t>Partial</t>
        </is>
      </c>
      <c r="I24" s="10" t="inlineStr">
        <is>
          <t>Medium</t>
        </is>
      </c>
      <c r="J24" s="10" t="inlineStr">
        <is>
          <t>Within retained literature and definitions</t>
        </is>
      </c>
      <c r="K24" s="10" t="inlineStr">
        <is>
          <t>Use “the reviewed literature does not demonstrate…”</t>
        </is>
      </c>
      <c r="L24" s="10" t="inlineStr">
        <is>
          <t>Search specifically for closed-loop intervention.</t>
        </is>
      </c>
      <c r="M24" s="10" t="inlineStr"/>
      <c r="N24" s="10" t="inlineStr">
        <is>
          <t>Needs verification</t>
        </is>
      </c>
      <c r="O24" s="10" t="inlineStr">
        <is>
          <t>High</t>
        </is>
      </c>
      <c r="P24" s="10" t="n">
        <v>2</v>
      </c>
      <c r="Q24" s="10" t="inlineStr"/>
    </row>
    <row r="25">
      <c r="A25" s="10" t="inlineStr">
        <is>
          <t>C22</t>
        </is>
      </c>
      <c r="B25" s="10" t="inlineStr">
        <is>
          <t>Ordinary airborne audible exposure lacks a robust evidence base for direct microbial inactivation.</t>
        </is>
      </c>
      <c r="C25" s="10" t="inlineStr">
        <is>
          <t>Boundary claim</t>
        </is>
      </c>
      <c r="D25" s="10" t="inlineStr">
        <is>
          <t>Supporting</t>
        </is>
      </c>
      <c r="E25" s="10" t="inlineStr">
        <is>
          <t>Review synthesis</t>
        </is>
      </c>
      <c r="F25" s="10" t="inlineStr">
        <is>
          <t>Section 7.3</t>
        </is>
      </c>
      <c r="G25" s="10" t="inlineStr">
        <is>
          <t>39–74</t>
        </is>
      </c>
      <c r="H25" s="10" t="inlineStr">
        <is>
          <t>Partial</t>
        </is>
      </c>
      <c r="I25" s="10" t="inlineStr">
        <is>
          <t>High</t>
        </is>
      </c>
      <c r="J25" s="10" t="inlineStr">
        <is>
          <t>Do not generalize from power ultrasound</t>
        </is>
      </c>
      <c r="K25" s="10" t="inlineStr">
        <is>
          <t>Use “the reviewed evidence does not support…”</t>
        </is>
      </c>
      <c r="L25" s="10" t="inlineStr">
        <is>
          <t>Search direct airborne audible microbial studies.</t>
        </is>
      </c>
      <c r="M25" s="10" t="inlineStr"/>
      <c r="N25" s="10" t="inlineStr">
        <is>
          <t>Needs verification</t>
        </is>
      </c>
      <c r="O25" s="10" t="inlineStr">
        <is>
          <t>High</t>
        </is>
      </c>
      <c r="P25" s="10" t="n">
        <v>2</v>
      </c>
      <c r="Q25" s="10" t="inlineStr"/>
    </row>
    <row r="26">
      <c r="A26" s="10" t="inlineStr">
        <is>
          <t>C23</t>
        </is>
      </c>
      <c r="B26" s="10" t="inlineStr">
        <is>
          <t>Shelf performance requires longitudinal trajectories, not one endpoint.</t>
        </is>
      </c>
      <c r="C26" s="10" t="inlineStr">
        <is>
          <t>Methodological position</t>
        </is>
      </c>
      <c r="D26" s="10" t="inlineStr">
        <is>
          <t>Core</t>
        </is>
      </c>
      <c r="E26" s="10" t="inlineStr">
        <is>
          <t>Evidence-based inference</t>
        </is>
      </c>
      <c r="F26" s="10" t="inlineStr">
        <is>
          <t>Section 7.1</t>
        </is>
      </c>
      <c r="G26" s="10" t="inlineStr">
        <is>
          <t>31, 92–94</t>
        </is>
      </c>
      <c r="H26" s="10" t="inlineStr">
        <is>
          <t>Supported</t>
        </is>
      </c>
      <c r="I26" s="10" t="inlineStr">
        <is>
          <t>Low</t>
        </is>
      </c>
      <c r="J26" s="10" t="inlineStr">
        <is>
          <t>Outcome set depends on intended use</t>
        </is>
      </c>
      <c r="K26" s="10" t="inlineStr">
        <is>
          <t>Retain.</t>
        </is>
      </c>
      <c r="L26" s="10" t="inlineStr">
        <is>
          <t>Ensure trajectory metrics are listed consistently.</t>
        </is>
      </c>
      <c r="M26" s="10" t="inlineStr"/>
      <c r="N26" s="10" t="inlineStr">
        <is>
          <t>Complete</t>
        </is>
      </c>
      <c r="O26" s="10" t="inlineStr">
        <is>
          <t>High</t>
        </is>
      </c>
      <c r="P26" s="10" t="n">
        <v>4</v>
      </c>
      <c r="Q26" s="10" t="inlineStr"/>
    </row>
    <row r="27">
      <c r="A27" s="10" t="inlineStr">
        <is>
          <t>C24</t>
        </is>
      </c>
      <c r="B27" s="10" t="inlineStr">
        <is>
          <t>Motion-clamped route-separated experiments can discriminate competing mechanisms.</t>
        </is>
      </c>
      <c r="C27" s="10" t="inlineStr">
        <is>
          <t>Design proposition</t>
        </is>
      </c>
      <c r="D27" s="10" t="inlineStr">
        <is>
          <t>Core</t>
        </is>
      </c>
      <c r="E27" s="10" t="inlineStr">
        <is>
          <t>Testable hypothesis</t>
        </is>
      </c>
      <c r="F27" s="10" t="inlineStr">
        <is>
          <t>Section 8 / Table 3</t>
        </is>
      </c>
      <c r="G27" s="10" t="inlineStr">
        <is>
          <t>Proposed</t>
        </is>
      </c>
      <c r="H27" s="10" t="inlineStr">
        <is>
          <t>Supported</t>
        </is>
      </c>
      <c r="I27" s="10" t="inlineStr">
        <is>
          <t>Low</t>
        </is>
      </c>
      <c r="J27" s="10" t="inlineStr">
        <is>
          <t>Requires pilot and correct experimental unit</t>
        </is>
      </c>
      <c r="K27" s="10" t="inlineStr">
        <is>
          <t>Retain as decisive experiment.</t>
        </is>
      </c>
      <c r="L27" s="10" t="inlineStr">
        <is>
          <t>Complete statistical and instrumentation plan.</t>
        </is>
      </c>
      <c r="M27" s="10" t="inlineStr"/>
      <c r="N27" s="10" t="inlineStr">
        <is>
          <t>In progress</t>
        </is>
      </c>
      <c r="O27" s="10" t="inlineStr">
        <is>
          <t>Critical</t>
        </is>
      </c>
      <c r="P27" s="10" t="n">
        <v>3</v>
      </c>
      <c r="Q27" s="10" t="inlineStr"/>
    </row>
    <row r="28">
      <c r="A28" s="10" t="inlineStr">
        <is>
          <t>C25</t>
        </is>
      </c>
      <c r="B28" s="10" t="inlineStr">
        <is>
          <t>The next breakthrough is closing the loaded-field → support → fruit-motion → tissue-exposure → shelf-response chain.</t>
        </is>
      </c>
      <c r="C28" s="10" t="inlineStr">
        <is>
          <t>Synthesis / position</t>
        </is>
      </c>
      <c r="D28" s="10" t="inlineStr">
        <is>
          <t>Core</t>
        </is>
      </c>
      <c r="E28" s="10" t="inlineStr">
        <is>
          <t>Evidence-based inference</t>
        </is>
      </c>
      <c r="F28" s="10" t="inlineStr">
        <is>
          <t>Conclusion</t>
        </is>
      </c>
      <c r="G28" s="10" t="inlineStr">
        <is>
          <t>Whole review</t>
        </is>
      </c>
      <c r="H28" s="10" t="inlineStr">
        <is>
          <t>Supported</t>
        </is>
      </c>
      <c r="I28" s="10" t="inlineStr">
        <is>
          <t>Low</t>
        </is>
      </c>
      <c r="J28" s="10" t="inlineStr">
        <is>
          <t>Scientific position, not empirical result</t>
        </is>
      </c>
      <c r="K28" s="10" t="inlineStr">
        <is>
          <t>Retain as final message.</t>
        </is>
      </c>
      <c r="L28" s="10" t="inlineStr">
        <is>
          <t>Ensure each link has a corresponding audit field.</t>
        </is>
      </c>
      <c r="M28" s="10" t="inlineStr"/>
      <c r="N28" s="10" t="inlineStr">
        <is>
          <t>Complete</t>
        </is>
      </c>
      <c r="O28" s="10" t="inlineStr">
        <is>
          <t>High</t>
        </is>
      </c>
      <c r="P28" s="10" t="n">
        <v>4</v>
      </c>
      <c r="Q28" s="10" t="inlineStr"/>
    </row>
  </sheetData>
  <mergeCells count="2">
    <mergeCell ref="A2:Q2"/>
    <mergeCell ref="A1:Q1"/>
  </mergeCells>
  <conditionalFormatting sqref="N4:N28">
    <cfRule type="expression" priority="1" dxfId="0">
      <formula>$N4="Complete"</formula>
    </cfRule>
    <cfRule type="expression" priority="2" dxfId="1">
      <formula>$N4="In progress"</formula>
    </cfRule>
    <cfRule type="expression" priority="3" dxfId="2">
      <formula>$N4="Needs verification"</formula>
    </cfRule>
    <cfRule type="expression" priority="4" dxfId="3">
      <formula>$N4="Needs revision"</formula>
    </cfRule>
    <cfRule type="expression" priority="5" dxfId="4">
      <formula>$N4="Not started"</formula>
    </cfRule>
    <cfRule type="expression" priority="6" dxfId="5">
      <formula>$N4="Not applicable"</formula>
    </cfRule>
  </conditionalFormatting>
  <conditionalFormatting sqref="O4:O28">
    <cfRule type="expression" priority="7" dxfId="4">
      <formula>$O4="Critical"</formula>
    </cfRule>
    <cfRule type="expression" priority="8" dxfId="3">
      <formula>$O4="High"</formula>
    </cfRule>
    <cfRule type="expression" priority="9" dxfId="2">
      <formula>$O4="Medium"</formula>
    </cfRule>
    <cfRule type="expression" priority="10" dxfId="0">
      <formula>$O4="Low"</formula>
    </cfRule>
  </conditionalFormatting>
  <conditionalFormatting sqref="P4:P28">
    <cfRule type="cellIs" priority="11" operator="lessThan" dxfId="4">
      <formula>2</formula>
    </cfRule>
    <cfRule type="cellIs" priority="12" operator="between" dxfId="2">
      <formula>2</formula>
      <formula>2.99</formula>
    </cfRule>
    <cfRule type="cellIs" priority="13" operator="between" dxfId="1">
      <formula>3</formula>
      <formula>3.49</formula>
    </cfRule>
    <cfRule type="cellIs" priority="14" operator="greaterThanOrEqual" dxfId="0">
      <formula>3.5</formula>
    </cfRule>
  </conditionalFormatting>
  <dataValidations count="4">
    <dataValidation sqref="E4:E28" showDropDown="0" showInputMessage="0" showErrorMessage="0" allowBlank="1" type="list">
      <formula1>=Lists!$E$2:$E$6</formula1>
    </dataValidation>
    <dataValidation sqref="N4:N28" showDropDown="0" showInputMessage="0" showErrorMessage="0" allowBlank="1" type="list">
      <formula1>=Lists!$A$2:$A$7</formula1>
    </dataValidation>
    <dataValidation sqref="O4:O28" showDropDown="0" showInputMessage="0" showErrorMessage="0" allowBlank="1" type="list">
      <formula1>=Lists!$C$2:$C$5</formula1>
    </dataValidation>
    <dataValidation sqref="P4:P28" showDropDown="0" showInputMessage="0" showErrorMessage="0" allowBlank="1" type="whole" operator="between">
      <formula1>0</formula1>
      <formula2>4</formula2>
    </dataValidation>
  </dataValidations>
  <pageMargins left="0.25" right="0.25" top="0.4" bottom="0.4" header="0.5" footer="0.5"/>
  <pageSetup orientation="landscape" fitToHeight="0" fitToWidth="1"/>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tabColor rgb="00A5A5A5"/>
    <outlinePr summaryBelow="1" summaryRight="1"/>
    <pageSetUpPr fitToPage="1"/>
  </sheetPr>
  <dimension ref="A1:T10"/>
  <sheetViews>
    <sheetView showGridLines="0" zoomScale="70" workbookViewId="0">
      <pane ySplit="3" topLeftCell="A4" activePane="bottomLeft" state="frozen"/>
      <selection pane="bottomLeft" activeCell="A1" sqref="A1"/>
    </sheetView>
  </sheetViews>
  <sheetFormatPr baseColWidth="8" defaultRowHeight="15"/>
  <cols>
    <col width="24" customWidth="1" min="1" max="1"/>
    <col width="64" customWidth="1" min="2" max="2"/>
    <col width="26" customWidth="1" min="3" max="3"/>
    <col width="45" customWidth="1" min="4" max="4"/>
    <col width="40" customWidth="1" min="5" max="5"/>
    <col width="32" customWidth="1" min="6" max="6"/>
    <col width="30" customWidth="1" min="7" max="7"/>
    <col width="36" customWidth="1" min="8" max="8"/>
    <col width="36" customWidth="1" min="9" max="9"/>
    <col width="34" customWidth="1" min="10" max="10"/>
    <col width="38" customWidth="1" min="11" max="11"/>
    <col width="42" customWidth="1" min="12" max="12"/>
    <col width="34" customWidth="1" min="13" max="13"/>
    <col width="28" customWidth="1" min="14" max="14"/>
    <col width="30" customWidth="1" min="15" max="15"/>
    <col width="42" customWidth="1" min="16" max="16"/>
    <col width="40" customWidth="1" min="17" max="17"/>
    <col width="18" customWidth="1" min="18" max="18"/>
    <col width="17" customWidth="1" min="19" max="19"/>
    <col width="32" customWidth="1" min="20" max="20"/>
  </cols>
  <sheetData>
    <row r="1" ht="30" customHeight="1">
      <c r="A1" s="1" t="inlineStr">
        <is>
          <t>Primary Airborne-Fruit Study Comparison</t>
        </is>
      </c>
    </row>
    <row r="2" ht="28" customHeight="1">
      <c r="A2" s="2" t="inlineStr">
        <is>
          <t>Detailed comparison of research question, receiver, methods, measurements, findings, limitations and contribution. “Verify full text” fields must be completed from source papers.</t>
        </is>
      </c>
    </row>
    <row r="3">
      <c r="A3" s="9" t="inlineStr">
        <is>
          <t>Study ID</t>
        </is>
      </c>
      <c r="B3" s="9" t="inlineStr">
        <is>
          <t>Full citation / DOI</t>
        </is>
      </c>
      <c r="C3" s="9" t="inlineStr">
        <is>
          <t>Receiver / context</t>
        </is>
      </c>
      <c r="D3" s="9" t="inlineStr">
        <is>
          <t>Research question</t>
        </is>
      </c>
      <c r="E3" s="9" t="inlineStr">
        <is>
          <t>Assumed mechanism / theory</t>
        </is>
      </c>
      <c r="F3" s="9" t="inlineStr">
        <is>
          <t>Reported source recipe</t>
        </is>
      </c>
      <c r="G3" s="9" t="inlineStr">
        <is>
          <t>Sample / experimental unit</t>
        </is>
      </c>
      <c r="H3" s="9" t="inlineStr">
        <is>
          <t>Treatment geometry / chamber</t>
        </is>
      </c>
      <c r="I3" s="9" t="inlineStr">
        <is>
          <t>Physical exposure measurements</t>
        </is>
      </c>
      <c r="J3" s="9" t="inlineStr">
        <is>
          <t>Environmental controls</t>
        </is>
      </c>
      <c r="K3" s="9" t="inlineStr">
        <is>
          <t>Biological / quality measurements</t>
        </is>
      </c>
      <c r="L3" s="9" t="inlineStr">
        <is>
          <t>Main reported finding</t>
        </is>
      </c>
      <c r="M3" s="9" t="inlineStr">
        <is>
          <t>Statistical / replication notes</t>
        </is>
      </c>
      <c r="N3" s="9" t="inlineStr">
        <is>
          <t>Agreement with lineage</t>
        </is>
      </c>
      <c r="O3" s="9" t="inlineStr">
        <is>
          <t>Disagreement / novelty</t>
        </is>
      </c>
      <c r="P3" s="9" t="inlineStr">
        <is>
          <t>Principal limitation</t>
        </is>
      </c>
      <c r="Q3" s="9" t="inlineStr">
        <is>
          <t>Contribution</t>
        </is>
      </c>
      <c r="R3" s="9" t="inlineStr">
        <is>
          <t>Independent replication?</t>
        </is>
      </c>
      <c r="S3" s="9" t="inlineStr">
        <is>
          <t>Full-text verified?</t>
        </is>
      </c>
      <c r="T3" s="9" t="inlineStr">
        <is>
          <t>Audit notes</t>
        </is>
      </c>
    </row>
    <row r="4">
      <c r="A4" s="10" t="inlineStr">
        <is>
          <t>Kim et al. 2015 [26] Detached tomato</t>
        </is>
      </c>
      <c r="B4" s="10" t="inlineStr">
        <is>
          <t>Kim JY, Lee JS, Kwon TR, Lee SI, Kim JA, Lee GM, et al. (2015). Sound waves delay tomato fruit ripening by negatively regulating ethylene biosynthesis and signaling genes. Postharvest Biology and Technology, 110, 43-50. https://doi.org/10.1016/j.postharvbio.2015.07.015 | https://doi.org/10.1016/j.postharvbio.2015.07.015</t>
        </is>
      </c>
      <c r="C4" s="10" t="inlineStr">
        <is>
          <t>Kim et al. 2015 [26] Detached tomato</t>
        </is>
      </c>
      <c r="D4" s="10" t="inlineStr">
        <is>
          <t>Can airborne sound delay ripening, implicitly through a sound-responsive physiological pathway?</t>
        </is>
      </c>
      <c r="E4" s="10" t="inlineStr">
        <is>
          <t>Mechanical / physiological pathway inferred from treatment label; verify exact author theory.</t>
        </is>
      </c>
      <c r="F4" s="10" t="inlineStr">
        <is>
          <t>1 kHz; six-hour treatment; reported source level in original paper</t>
        </is>
      </c>
      <c r="G4" s="10" t="inlineStr">
        <is>
          <t>Verify full text: sample size, chamber/run unit and biological replicate structure.</t>
        </is>
      </c>
      <c r="H4" s="10" t="inlineStr">
        <is>
          <t>Verify full text: source distance, orientation, load, chamber dimensions and support.</t>
        </is>
      </c>
      <c r="I4" s="10" t="inlineStr">
        <is>
          <t>No fruit motion; no support isolation; nominal field only</t>
        </is>
      </c>
      <c r="J4" s="10" t="inlineStr">
        <is>
          <t>Verify temperature, humidity, airflow, gas history, shams and background vibration.</t>
        </is>
      </c>
      <c r="K4" s="10" t="inlineStr">
        <is>
          <t>Colour, firmness, ethylene / CO₂ trajectories and ripening-related gene expression</t>
        </is>
      </c>
      <c r="L4" s="10" t="inlineStr">
        <is>
          <t>Repeated phenotype and molecular association within one treatment system</t>
        </is>
      </c>
      <c r="M4" s="10" t="inlineStr">
        <is>
          <t>Verify randomization, nesting, repeated measures and correct experimental unit.</t>
        </is>
      </c>
      <c r="N4" s="10" t="inlineStr">
        <is>
          <t>Builds on / is adjacent to the connected tomato or plant evidence lineage.</t>
        </is>
      </c>
      <c r="O4" s="10" t="inlineStr">
        <is>
          <t>See manuscript Table 2 and Section 5 for divergence.</t>
        </is>
      </c>
      <c r="P4" s="10" t="inlineStr">
        <is>
          <t>Receiver motion, tray vibration, microclimate and chamber-level replication remain unresolved</t>
        </is>
      </c>
      <c r="Q4" s="10" t="inlineStr">
        <is>
          <t>Established the core detached-tomato observation and motivated later molecular work</t>
        </is>
      </c>
      <c r="R4" s="10" t="inlineStr">
        <is>
          <t>No external confirmation identified in retained corpus.</t>
        </is>
      </c>
      <c r="S4" s="10" t="inlineStr">
        <is>
          <t>No</t>
        </is>
      </c>
      <c r="T4" s="10" t="inlineStr"/>
    </row>
    <row r="5">
      <c r="A5" s="10" t="inlineStr">
        <is>
          <t>Kim et al. 2016 [27] Detached tomato</t>
        </is>
      </c>
      <c r="B5" s="10" t="inlineStr">
        <is>
          <t>Kim JY, Ahn HR, Kim ST, Min CW, Lee SI, Kim JA, et al. (2016). Sound wave affects the expression of ethylene biosynthesis-related genes through control of transcription factors RIN and HB-1. Plant Biotechnology Reports, 10(6), 437-445. https://doi.org/10.1007/s11816-016-0419-2 | https://doi.org/10.1007/s11816-016-0419-2</t>
        </is>
      </c>
      <c r="C5" s="10" t="inlineStr">
        <is>
          <t>Kim et al. 2016 [27] Detached tomato</t>
        </is>
      </c>
      <c r="D5" s="10" t="inlineStr">
        <is>
          <t>Does sound alter ethylene-biosynthesis-related transcription through RIN and HB-1?</t>
        </is>
      </c>
      <c r="E5" s="10" t="inlineStr">
        <is>
          <t>Mechanical / physiological pathway inferred from treatment label; verify exact author theory.</t>
        </is>
      </c>
      <c r="F5" s="10" t="inlineStr">
        <is>
          <t>Related 1 kHz treatment lineage</t>
        </is>
      </c>
      <c r="G5" s="10" t="inlineStr">
        <is>
          <t>Verify full text: sample size, chamber/run unit and biological replicate structure.</t>
        </is>
      </c>
      <c r="H5" s="10" t="inlineStr">
        <is>
          <t>Verify full text: source distance, orientation, load, chamber dimensions and support.</t>
        </is>
      </c>
      <c r="I5" s="10" t="inlineStr">
        <is>
          <t>No fruit motion or route separation reported</t>
        </is>
      </c>
      <c r="J5" s="10" t="inlineStr">
        <is>
          <t>Verify temperature, humidity, airflow, gas history, shams and background vibration.</t>
        </is>
      </c>
      <c r="K5" s="10" t="inlineStr">
        <is>
          <t>Transcription factors and ethylene-biosynthesis-related genes</t>
        </is>
      </c>
      <c r="L5" s="10" t="inlineStr">
        <is>
          <t>Molecular association consistent with the earlier phenotype</t>
        </is>
      </c>
      <c r="M5" s="10" t="inlineStr">
        <is>
          <t>Verify randomization, nesting, repeated measures and correct experimental unit.</t>
        </is>
      </c>
      <c r="N5" s="10" t="inlineStr">
        <is>
          <t>Builds on / is adjacent to the connected tomato or plant evidence lineage.</t>
        </is>
      </c>
      <c r="O5" s="10" t="inlineStr">
        <is>
          <t>See manuscript Table 2 and Section 5 for divergence.</t>
        </is>
      </c>
      <c r="P5" s="10" t="inlineStr">
        <is>
          <t>Same lineage; physical exposure and alternative routes remain latent</t>
        </is>
      </c>
      <c r="Q5" s="10" t="inlineStr">
        <is>
          <t>Extended the proposed pathway to transcriptional control</t>
        </is>
      </c>
      <c r="R5" s="10" t="inlineStr">
        <is>
          <t>No external confirmation identified in retained corpus.</t>
        </is>
      </c>
      <c r="S5" s="10" t="inlineStr">
        <is>
          <t>No</t>
        </is>
      </c>
      <c r="T5" s="10" t="inlineStr"/>
    </row>
    <row r="6">
      <c r="A6" s="10" t="inlineStr">
        <is>
          <t>Kim et al. 2018 [28] Detached tomato</t>
        </is>
      </c>
      <c r="B6" s="10" t="inlineStr">
        <is>
          <t>Kim JY, Kim SK, Jung J, Jeong MJ, Ryu CM. (2018). Exploring the sound-modulated delay in tomato ripening through expression analysis of coding and non-coding RNAs. Annals of Botany. https://doi.org/10.1093/aob/mcy134 | https://doi.org/10.1093/aob/mcy134</t>
        </is>
      </c>
      <c r="C6" s="10" t="inlineStr">
        <is>
          <t>Kim et al. 2018 [28] Detached tomato</t>
        </is>
      </c>
      <c r="D6" s="10" t="inlineStr">
        <is>
          <t>Which coding and non-coding RNAs accompany delayed ripening?</t>
        </is>
      </c>
      <c r="E6" s="10" t="inlineStr">
        <is>
          <t>Mechanical / physiological pathway inferred from treatment label; verify exact author theory.</t>
        </is>
      </c>
      <c r="F6" s="10" t="inlineStr">
        <is>
          <t>1 kHz; nominal 80 dB reported</t>
        </is>
      </c>
      <c r="G6" s="10" t="inlineStr">
        <is>
          <t>Verify full text: sample size, chamber/run unit and biological replicate structure.</t>
        </is>
      </c>
      <c r="H6" s="10" t="inlineStr">
        <is>
          <t>Verify full text: source distance, orientation, load, chamber dimensions and support.</t>
        </is>
      </c>
      <c r="I6" s="10" t="inlineStr">
        <is>
          <t>No receiver motion or support isolation reported</t>
        </is>
      </c>
      <c r="J6" s="10" t="inlineStr">
        <is>
          <t>Verify temperature, humidity, airflow, gas history, shams and background vibration.</t>
        </is>
      </c>
      <c r="K6" s="10" t="inlineStr">
        <is>
          <t>Time-course expression of coding and non-coding RNAs</t>
        </is>
      </c>
      <c r="L6" s="10" t="inlineStr">
        <is>
          <t>Temporal molecular association under the treatment label</t>
        </is>
      </c>
      <c r="M6" s="10" t="inlineStr">
        <is>
          <t>Verify randomization, nesting, repeated measures and correct experimental unit.</t>
        </is>
      </c>
      <c r="N6" s="10" t="inlineStr">
        <is>
          <t>Builds on / is adjacent to the connected tomato or plant evidence lineage.</t>
        </is>
      </c>
      <c r="O6" s="10" t="inlineStr">
        <is>
          <t>See manuscript Table 2 and Section 5 for divergence.</t>
        </is>
      </c>
      <c r="P6" s="10" t="inlineStr">
        <is>
          <t>Nominal source level does not reconstruct fruit exposure; maturity alignment can confound interpretation</t>
        </is>
      </c>
      <c r="Q6" s="10" t="inlineStr">
        <is>
          <t>Broadened the molecular signature and temporal evidence</t>
        </is>
      </c>
      <c r="R6" s="10" t="inlineStr">
        <is>
          <t>No external confirmation identified in retained corpus.</t>
        </is>
      </c>
      <c r="S6" s="10" t="inlineStr">
        <is>
          <t>No</t>
        </is>
      </c>
      <c r="T6" s="10" t="inlineStr"/>
    </row>
    <row r="7">
      <c r="A7" s="10" t="inlineStr">
        <is>
          <t>Kim et al. 2023 [29] Detached tomato</t>
        </is>
      </c>
      <c r="B7" s="10" t="inlineStr">
        <is>
          <t>Kim JY, Lee HJ, Jeong MJ. (2023). Epigenetic regulation for delaying tomato fruit ripening through histone modification by specific sound wave treatment. Postharvest Biology and Technology, 197, 112211. https://doi.org/10.1016/j.postharvbio.2022.112211 | https://doi.org/10.1016/j.postharvbio.2022.112211</t>
        </is>
      </c>
      <c r="C7" s="10" t="inlineStr">
        <is>
          <t>Kim et al. 2023 [29] Detached tomato</t>
        </is>
      </c>
      <c r="D7" s="10" t="inlineStr">
        <is>
          <t>Does sound exposure alter histone modification linked with ripening delay?</t>
        </is>
      </c>
      <c r="E7" s="10" t="inlineStr">
        <is>
          <t>Mechanical / physiological pathway inferred from treatment label; verify exact author theory.</t>
        </is>
      </c>
      <c r="F7" s="10" t="inlineStr">
        <is>
          <t>Related 1 kHz treatment lineage</t>
        </is>
      </c>
      <c r="G7" s="10" t="inlineStr">
        <is>
          <t>Verify full text: sample size, chamber/run unit and biological replicate structure.</t>
        </is>
      </c>
      <c r="H7" s="10" t="inlineStr">
        <is>
          <t>Verify full text: source distance, orientation, load, chamber dimensions and support.</t>
        </is>
      </c>
      <c r="I7" s="10" t="inlineStr">
        <is>
          <t>No discriminating mechanical control reported</t>
        </is>
      </c>
      <c r="J7" s="10" t="inlineStr">
        <is>
          <t>Verify temperature, humidity, airflow, gas history, shams and background vibration.</t>
        </is>
      </c>
      <c r="K7" s="10" t="inlineStr">
        <is>
          <t>Histone modification and ripening-related outcomes</t>
        </is>
      </c>
      <c r="L7" s="10" t="inlineStr">
        <is>
          <t>Epigenetic association within a bounded system</t>
        </is>
      </c>
      <c r="M7" s="10" t="inlineStr">
        <is>
          <t>Verify randomization, nesting, repeated measures and correct experimental unit.</t>
        </is>
      </c>
      <c r="N7" s="10" t="inlineStr">
        <is>
          <t>Builds on / is adjacent to the connected tomato or plant evidence lineage.</t>
        </is>
      </c>
      <c r="O7" s="10" t="inlineStr">
        <is>
          <t>See manuscript Table 2 and Section 5 for divergence.</t>
        </is>
      </c>
      <c r="P7" s="10" t="inlineStr">
        <is>
          <t>Receiver route and causal temporal sequence remain unclosed</t>
        </is>
      </c>
      <c r="Q7" s="10" t="inlineStr">
        <is>
          <t>Added an epigenetic layer to the connected evidence lineage</t>
        </is>
      </c>
      <c r="R7" s="10" t="inlineStr">
        <is>
          <t>No external confirmation identified in retained corpus.</t>
        </is>
      </c>
      <c r="S7" s="10" t="inlineStr">
        <is>
          <t>No</t>
        </is>
      </c>
      <c r="T7" s="10" t="inlineStr"/>
    </row>
    <row r="8">
      <c r="A8" s="10" t="inlineStr">
        <is>
          <t>Jeong et al. 2023 [30] Detached tomato</t>
        </is>
      </c>
      <c r="B8" s="10" t="inlineStr">
        <is>
          <t>Jeong MJ, Ko BJ, Kim JY. (2023). Mass spectrometry-based metabolomics study for delay tomato fruit ripening by sound waves. Journal of Analytical Science and Technology, 14(1), 27. https://doi.org/10.1186/s40543-023-00384-3 | https://doi.org/10.1186/s40543-023-00384-3</t>
        </is>
      </c>
      <c r="C8" s="10" t="inlineStr">
        <is>
          <t>Jeong et al. 2023 [30] Detached tomato</t>
        </is>
      </c>
      <c r="D8" s="10" t="inlineStr">
        <is>
          <t>Which metabolites accompany delayed ripening under sound treatment?</t>
        </is>
      </c>
      <c r="E8" s="10" t="inlineStr">
        <is>
          <t>Mechanical / physiological pathway inferred from treatment label; verify exact author theory.</t>
        </is>
      </c>
      <c r="F8" s="10" t="inlineStr">
        <is>
          <t>1 kHz; nominal 100 dB reported</t>
        </is>
      </c>
      <c r="G8" s="10" t="inlineStr">
        <is>
          <t>Verify full text: sample size, chamber/run unit and biological replicate structure.</t>
        </is>
      </c>
      <c r="H8" s="10" t="inlineStr">
        <is>
          <t>Verify full text: source distance, orientation, load, chamber dimensions and support.</t>
        </is>
      </c>
      <c r="I8" s="10" t="inlineStr">
        <is>
          <t>No fruit motion; limited environmental control described in review corpus</t>
        </is>
      </c>
      <c r="J8" s="10" t="inlineStr">
        <is>
          <t>Verify temperature, humidity, airflow, gas history, shams and background vibration.</t>
        </is>
      </c>
      <c r="K8" s="10" t="inlineStr">
        <is>
          <t>Selected metabolomic differences and ripening phenotype</t>
        </is>
      </c>
      <c r="L8" s="10" t="inlineStr">
        <is>
          <t>Association between treatment label and metabolite set</t>
        </is>
      </c>
      <c r="M8" s="10" t="inlineStr">
        <is>
          <t>Verify randomization, nesting, repeated measures and correct experimental unit.</t>
        </is>
      </c>
      <c r="N8" s="10" t="inlineStr">
        <is>
          <t>Builds on / is adjacent to the connected tomato or plant evidence lineage.</t>
        </is>
      </c>
      <c r="O8" s="10" t="inlineStr">
        <is>
          <t>See manuscript Table 2 and Section 5 for divergence.</t>
        </is>
      </c>
      <c r="P8" s="10" t="inlineStr">
        <is>
          <t>Different nominal level from related papers; selected sampling time may reflect maturity divergence</t>
        </is>
      </c>
      <c r="Q8" s="10" t="inlineStr">
        <is>
          <t>Added metabolomic evidence but not mechanical closure</t>
        </is>
      </c>
      <c r="R8" s="10" t="inlineStr">
        <is>
          <t>No external confirmation identified in retained corpus.</t>
        </is>
      </c>
      <c r="S8" s="10" t="inlineStr">
        <is>
          <t>No</t>
        </is>
      </c>
      <c r="T8" s="10" t="inlineStr"/>
    </row>
    <row r="9">
      <c r="A9" s="10" t="inlineStr">
        <is>
          <t>Ozkurt &amp; Altuntas 2018 [32] Fruit on living strawberry plants</t>
        </is>
      </c>
      <c r="B9" s="10" t="inlineStr">
        <is>
          <t>Ozkurt H, Altuntas O. (2018). Quality Parameter Levels of Strawberry Fruit in Response to Different Sound Waves at 1000 Hz with Different dB Values (95, 100, 105 dB). Agronomy, 8(7), 127. https://doi.org/10.3390/agronomy8070127 | https://doi.org/10.3390/agronomy8070127</t>
        </is>
      </c>
      <c r="C9" s="10" t="inlineStr">
        <is>
          <t>Ozkurt &amp; Altuntas 2018 [32] Fruit on living strawberry plants</t>
        </is>
      </c>
      <c r="D9" s="10" t="inlineStr">
        <is>
          <t>Do different source levels at 1000 Hz affect fruit quality on plants?</t>
        </is>
      </c>
      <c r="E9" s="10" t="inlineStr">
        <is>
          <t>Mechanical / physiological pathway inferred from treatment label; verify exact author theory.</t>
        </is>
      </c>
      <c r="F9" s="10" t="inlineStr">
        <is>
          <t>1000 Hz at 95, 100 and 105 dB</t>
        </is>
      </c>
      <c r="G9" s="10" t="inlineStr">
        <is>
          <t>Verify full text: sample size, chamber/run unit and biological replicate structure.</t>
        </is>
      </c>
      <c r="H9" s="10" t="inlineStr">
        <is>
          <t>Verify full text: source distance, orientation, load, chamber dimensions and support.</t>
        </is>
      </c>
      <c r="I9" s="10" t="inlineStr">
        <is>
          <t>No direct fruit motion or support-transfer measurement</t>
        </is>
      </c>
      <c r="J9" s="10" t="inlineStr">
        <is>
          <t>Verify temperature, humidity, airflow, gas history, shams and background vibration.</t>
        </is>
      </c>
      <c r="K9" s="10" t="inlineStr">
        <is>
          <t>Fruit quality parameters after repeated whole-plant exposure</t>
        </is>
      </c>
      <c r="L9" s="10" t="inlineStr">
        <is>
          <t>Bounded plant-level association with randomized block design</t>
        </is>
      </c>
      <c r="M9" s="10" t="inlineStr">
        <is>
          <t>Verify randomization, nesting, repeated measures and correct experimental unit.</t>
        </is>
      </c>
      <c r="N9" s="10" t="inlineStr">
        <is>
          <t>Builds on / is adjacent to the connected tomato or plant evidence lineage.</t>
        </is>
      </c>
      <c r="O9" s="10" t="inlineStr">
        <is>
          <t>See manuscript Table 2 and Section 5 for divergence.</t>
        </is>
      </c>
      <c r="P9" s="10" t="inlineStr">
        <is>
          <t>Receiver is the entire living plant, not a detached stored fruit; chronic exposure and chamber effects differ</t>
        </is>
      </c>
      <c r="Q9" s="10" t="inlineStr">
        <is>
          <t>Provides adjacent biological evidence, not validation of detached-fruit processing</t>
        </is>
      </c>
      <c r="R9" s="10" t="inlineStr">
        <is>
          <t>No external confirmation identified in retained corpus.</t>
        </is>
      </c>
      <c r="S9" s="10" t="inlineStr">
        <is>
          <t>No</t>
        </is>
      </c>
      <c r="T9" s="10" t="inlineStr"/>
    </row>
    <row r="10">
      <c r="A10" s="10" t="inlineStr">
        <is>
          <t>Altuntas &amp; Ozkurt 2019 [33] Fruit on living tomato plants</t>
        </is>
      </c>
      <c r="B10" s="10" t="inlineStr">
        <is>
          <t>Altuntas O, Ozkurt H. (2019). The assessment of tomato fruit quality parameters under different sound waves. Journal of Food Science and Technology, 56(4), 2186-2194. https://doi.org/10.1007/s13197-019-03701-0 | https://doi.org/10.1007/s13197-019-03701-0</t>
        </is>
      </c>
      <c r="C10" s="10" t="inlineStr">
        <is>
          <t>Altuntas &amp; Ozkurt 2019 [33] Fruit on living tomato plants</t>
        </is>
      </c>
      <c r="D10" s="10" t="inlineStr">
        <is>
          <t>Do several sound frequencies alter tomato fruit quality during development?</t>
        </is>
      </c>
      <c r="E10" s="10" t="inlineStr">
        <is>
          <t>Mechanical / physiological pathway inferred from treatment label; verify exact author theory.</t>
        </is>
      </c>
      <c r="F10" s="10" t="inlineStr">
        <is>
          <t>600, 1240 and 1600 Hz applied in successive weeks</t>
        </is>
      </c>
      <c r="G10" s="10" t="inlineStr">
        <is>
          <t>Verify full text: sample size, chamber/run unit and biological replicate structure.</t>
        </is>
      </c>
      <c r="H10" s="10" t="inlineStr">
        <is>
          <t>Verify full text: source distance, orientation, load, chamber dimensions and support.</t>
        </is>
      </c>
      <c r="I10" s="10" t="inlineStr">
        <is>
          <t>No direct fruit motion or route isolation</t>
        </is>
      </c>
      <c r="J10" s="10" t="inlineStr">
        <is>
          <t>Verify temperature, humidity, airflow, gas history, shams and background vibration.</t>
        </is>
      </c>
      <c r="K10" s="10" t="inlineStr">
        <is>
          <t>Fruit quality parameters under whole-plant exposure</t>
        </is>
      </c>
      <c r="L10" s="10" t="inlineStr">
        <is>
          <t>Exploratory association across development</t>
        </is>
      </c>
      <c r="M10" s="10" t="inlineStr">
        <is>
          <t>Verify randomization, nesting, repeated measures and correct experimental unit.</t>
        </is>
      </c>
      <c r="N10" s="10" t="inlineStr">
        <is>
          <t>Builds on / is adjacent to the connected tomato or plant evidence lineage.</t>
        </is>
      </c>
      <c r="O10" s="10" t="inlineStr">
        <is>
          <t>See manuscript Table 2 and Section 5 for divergence.</t>
        </is>
      </c>
      <c r="P10" s="10" t="inlineStr">
        <is>
          <t>Frequency is confounded with treatment order and developmental time</t>
        </is>
      </c>
      <c r="Q10" s="10" t="inlineStr">
        <is>
          <t>Shows why time, order and receiver identity must be separated</t>
        </is>
      </c>
      <c r="R10" s="10" t="inlineStr">
        <is>
          <t>No external confirmation identified in retained corpus.</t>
        </is>
      </c>
      <c r="S10" s="10" t="inlineStr">
        <is>
          <t>No</t>
        </is>
      </c>
      <c r="T10" s="10" t="inlineStr"/>
    </row>
  </sheetData>
  <mergeCells count="2">
    <mergeCell ref="A1:T1"/>
    <mergeCell ref="A2:T2"/>
  </mergeCells>
  <dataValidations count="1">
    <dataValidation sqref="S4:S10" showDropDown="0" showInputMessage="0" showErrorMessage="0" allowBlank="1" type="list">
      <formula1>=Lists!$G$2:$G$5</formula1>
    </dataValidation>
  </dataValidations>
  <pageMargins left="0.25" right="0.25" top="0.4" bottom="0.4" header="0.5" footer="0.5"/>
  <pageSetup orientation="landscape"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C00000"/>
    <outlinePr summaryBelow="1" summaryRight="1"/>
    <pageSetUpPr fitToPage="1"/>
  </sheetPr>
  <dimension ref="A1:O25"/>
  <sheetViews>
    <sheetView showGridLines="0" zoomScale="80" workbookViewId="0">
      <pane ySplit="6" topLeftCell="A7" activePane="bottomLeft" state="frozen"/>
      <selection pane="bottomLeft" activeCell="A1" sqref="A1"/>
    </sheetView>
  </sheetViews>
  <sheetFormatPr baseColWidth="8" defaultRowHeight="15"/>
  <cols>
    <col width="28" customWidth="1" min="1" max="1"/>
    <col width="26" customWidth="1" min="2" max="2"/>
    <col width="15" customWidth="1" min="3" max="3"/>
    <col width="16" customWidth="1" min="4" max="4"/>
    <col width="16" customWidth="1" min="5" max="5"/>
    <col width="18" customWidth="1" min="6" max="6"/>
    <col width="17" customWidth="1" min="7" max="7"/>
    <col width="18" customWidth="1" min="8" max="8"/>
    <col width="19" customWidth="1" min="9" max="9"/>
    <col width="14" customWidth="1" min="10" max="10"/>
    <col width="13" customWidth="1" min="11" max="11"/>
    <col width="18" customWidth="1" min="12" max="12"/>
    <col width="43" customWidth="1" min="13" max="13"/>
    <col width="34" customWidth="1" min="14" max="14"/>
    <col width="30" customWidth="1" min="15" max="15"/>
  </cols>
  <sheetData>
    <row r="1" ht="30" customHeight="1">
      <c r="A1" s="1" t="inlineStr">
        <is>
          <t>Causal Evidence-Chain Audit</t>
        </is>
      </c>
    </row>
    <row r="2" ht="28" customHeight="1">
      <c r="A2" s="2" t="inlineStr">
        <is>
          <t>A–D grades describe whether each specific causal link was established; they do not grade whether a reported outcome was statistically significant.</t>
        </is>
      </c>
    </row>
    <row r="4">
      <c r="A4" s="3" t="inlineStr">
        <is>
          <t>Retained studies</t>
        </is>
      </c>
      <c r="D4" s="3" t="inlineStr">
        <is>
          <t>Receiver motion measured</t>
        </is>
      </c>
      <c r="G4" s="3" t="inlineStr">
        <is>
          <t>Support isolated</t>
        </is>
      </c>
      <c r="J4" s="3" t="inlineStr">
        <is>
          <t>External confirmation</t>
        </is>
      </c>
      <c r="M4" s="3" t="inlineStr">
        <is>
          <t>Total Grade-D cells</t>
        </is>
      </c>
    </row>
    <row r="5">
      <c r="A5" s="24" t="n">
        <v>7</v>
      </c>
      <c r="D5" s="6">
        <f>COUNTIF(D8:D14,"A")+COUNTIF(D8:D14,"B")</f>
        <v/>
      </c>
      <c r="G5" s="6">
        <f>COUNTIF(E8:E14,"A")+COUNTIF(E8:E14,"B")</f>
        <v/>
      </c>
      <c r="J5" s="6">
        <f>COUNTIF(I8:I14,"A")+COUNTIF(I8:I14,"B")</f>
        <v/>
      </c>
      <c r="M5" s="6">
        <f>COUNTIF(C8:I14,"D")</f>
        <v/>
      </c>
    </row>
    <row r="7">
      <c r="A7" s="9" t="inlineStr">
        <is>
          <t>Study</t>
        </is>
      </c>
      <c r="B7" s="9" t="inlineStr">
        <is>
          <t>Receiver system</t>
        </is>
      </c>
      <c r="C7" s="9" t="inlineStr">
        <is>
          <t>Loaded field</t>
        </is>
      </c>
      <c r="D7" s="9" t="inlineStr">
        <is>
          <t>Receiver motion</t>
        </is>
      </c>
      <c r="E7" s="9" t="inlineStr">
        <is>
          <t>Support isolated</t>
        </is>
      </c>
      <c r="F7" s="9" t="inlineStr">
        <is>
          <t>Thermal / gas sham</t>
        </is>
      </c>
      <c r="G7" s="9" t="inlineStr">
        <is>
          <t>Fruit-level unit</t>
        </is>
      </c>
      <c r="H7" s="9" t="inlineStr">
        <is>
          <t>Internal replication</t>
        </is>
      </c>
      <c r="I7" s="9" t="inlineStr">
        <is>
          <t>External confirmation</t>
        </is>
      </c>
      <c r="J7" s="9" t="inlineStr">
        <is>
          <t>Average grade</t>
        </is>
      </c>
      <c r="K7" s="9" t="inlineStr">
        <is>
          <t>Grade-D count</t>
        </is>
      </c>
      <c r="L7" s="9" t="inlineStr">
        <is>
          <t>Mechanistic closure</t>
        </is>
      </c>
      <c r="M7" s="9" t="inlineStr">
        <is>
          <t>Overall interpretation</t>
        </is>
      </c>
      <c r="N7" s="9" t="inlineStr">
        <is>
          <t>Source page / note</t>
        </is>
      </c>
      <c r="O7" s="9" t="inlineStr">
        <is>
          <t>Reviewer note</t>
        </is>
      </c>
    </row>
    <row r="8">
      <c r="A8" s="10" t="inlineStr">
        <is>
          <t>Kim 2015</t>
        </is>
      </c>
      <c r="B8" s="10" t="inlineStr">
        <is>
          <t>Detached tomato</t>
        </is>
      </c>
      <c r="C8" s="10" t="inlineStr">
        <is>
          <t>C</t>
        </is>
      </c>
      <c r="D8" s="10" t="inlineStr">
        <is>
          <t>D</t>
        </is>
      </c>
      <c r="E8" s="10" t="inlineStr">
        <is>
          <t>D</t>
        </is>
      </c>
      <c r="F8" s="10" t="inlineStr">
        <is>
          <t>C</t>
        </is>
      </c>
      <c r="G8" s="10" t="inlineStr">
        <is>
          <t>B</t>
        </is>
      </c>
      <c r="H8" s="10" t="inlineStr">
        <is>
          <t>B</t>
        </is>
      </c>
      <c r="I8" s="10" t="inlineStr">
        <is>
          <t>D</t>
        </is>
      </c>
      <c r="J8" s="10">
        <f>ROUND(AVERAGE(VLOOKUP(C8,Lists!$M$2:$N$5,2,FALSE),VLOOKUP(D8,Lists!$M$2:$N$5,2,FALSE),VLOOKUP(E8,Lists!$M$2:$N$5,2,FALSE),VLOOKUP(F8,Lists!$M$2:$N$5,2,FALSE),VLOOKUP(G8,Lists!$M$2:$N$5,2,FALSE),VLOOKUP(H8,Lists!$M$2:$N$5,2,FALSE),VLOOKUP(I8,Lists!$M$2:$N$5,2,FALSE)),2)</f>
        <v/>
      </c>
      <c r="K8" s="10">
        <f>COUNTIF(C8:I8,"D")</f>
        <v/>
      </c>
      <c r="L8" s="10">
        <f>IF(AND(D8&lt;&gt;"D",E8&lt;&gt;"D",I8&lt;&gt;"D"),"Partly closed","Open")</f>
        <v/>
      </c>
      <c r="M8" s="10" t="inlineStr">
        <is>
          <t>Repeated outcome signal with latent mechanical exposure.</t>
        </is>
      </c>
      <c r="N8" s="10" t="inlineStr">
        <is>
          <t>Supplementary Table S3; verify exact source pages.</t>
        </is>
      </c>
      <c r="O8" s="10" t="inlineStr"/>
    </row>
    <row r="9">
      <c r="A9" s="10" t="inlineStr">
        <is>
          <t>Kim 2016</t>
        </is>
      </c>
      <c r="B9" s="10" t="inlineStr">
        <is>
          <t>Detached tomato</t>
        </is>
      </c>
      <c r="C9" s="10" t="inlineStr">
        <is>
          <t>C</t>
        </is>
      </c>
      <c r="D9" s="10" t="inlineStr">
        <is>
          <t>D</t>
        </is>
      </c>
      <c r="E9" s="10" t="inlineStr">
        <is>
          <t>D</t>
        </is>
      </c>
      <c r="F9" s="10" t="inlineStr">
        <is>
          <t>C</t>
        </is>
      </c>
      <c r="G9" s="10" t="inlineStr">
        <is>
          <t>C</t>
        </is>
      </c>
      <c r="H9" s="10" t="inlineStr">
        <is>
          <t>B</t>
        </is>
      </c>
      <c r="I9" s="10" t="inlineStr">
        <is>
          <t>D</t>
        </is>
      </c>
      <c r="J9" s="10">
        <f>ROUND(AVERAGE(VLOOKUP(C9,Lists!$M$2:$N$5,2,FALSE),VLOOKUP(D9,Lists!$M$2:$N$5,2,FALSE),VLOOKUP(E9,Lists!$M$2:$N$5,2,FALSE),VLOOKUP(F9,Lists!$M$2:$N$5,2,FALSE),VLOOKUP(G9,Lists!$M$2:$N$5,2,FALSE),VLOOKUP(H9,Lists!$M$2:$N$5,2,FALSE),VLOOKUP(I9,Lists!$M$2:$N$5,2,FALSE)),2)</f>
        <v/>
      </c>
      <c r="K9" s="10">
        <f>COUNTIF(C9:I9,"D")</f>
        <v/>
      </c>
      <c r="L9" s="10">
        <f>IF(AND(D9&lt;&gt;"D",E9&lt;&gt;"D",I9&lt;&gt;"D"),"Partly closed","Open")</f>
        <v/>
      </c>
      <c r="M9" s="10" t="inlineStr">
        <is>
          <t>Molecular association within the same treatment lineage.</t>
        </is>
      </c>
      <c r="N9" s="10" t="inlineStr">
        <is>
          <t>Supplementary Table S3; verify exact source pages.</t>
        </is>
      </c>
      <c r="O9" s="10" t="inlineStr"/>
    </row>
    <row r="10">
      <c r="A10" s="10" t="inlineStr">
        <is>
          <t>Kim 2018</t>
        </is>
      </c>
      <c r="B10" s="10" t="inlineStr">
        <is>
          <t>Detached tomato</t>
        </is>
      </c>
      <c r="C10" s="10" t="inlineStr">
        <is>
          <t>C</t>
        </is>
      </c>
      <c r="D10" s="10" t="inlineStr">
        <is>
          <t>D</t>
        </is>
      </c>
      <c r="E10" s="10" t="inlineStr">
        <is>
          <t>D</t>
        </is>
      </c>
      <c r="F10" s="10" t="inlineStr">
        <is>
          <t>C</t>
        </is>
      </c>
      <c r="G10" s="10" t="inlineStr">
        <is>
          <t>B</t>
        </is>
      </c>
      <c r="H10" s="10" t="inlineStr">
        <is>
          <t>B</t>
        </is>
      </c>
      <c r="I10" s="10" t="inlineStr">
        <is>
          <t>D</t>
        </is>
      </c>
      <c r="J10" s="10">
        <f>ROUND(AVERAGE(VLOOKUP(C10,Lists!$M$2:$N$5,2,FALSE),VLOOKUP(D10,Lists!$M$2:$N$5,2,FALSE),VLOOKUP(E10,Lists!$M$2:$N$5,2,FALSE),VLOOKUP(F10,Lists!$M$2:$N$5,2,FALSE),VLOOKUP(G10,Lists!$M$2:$N$5,2,FALSE),VLOOKUP(H10,Lists!$M$2:$N$5,2,FALSE),VLOOKUP(I10,Lists!$M$2:$N$5,2,FALSE)),2)</f>
        <v/>
      </c>
      <c r="K10" s="10">
        <f>COUNTIF(C10:I10,"D")</f>
        <v/>
      </c>
      <c r="L10" s="10">
        <f>IF(AND(D10&lt;&gt;"D",E10&lt;&gt;"D",I10&lt;&gt;"D"),"Partly closed","Open")</f>
        <v/>
      </c>
      <c r="M10" s="10" t="inlineStr">
        <is>
          <t>Transcriptomic time course without receiver closure.</t>
        </is>
      </c>
      <c r="N10" s="10" t="inlineStr">
        <is>
          <t>Supplementary Table S3; verify exact source pages.</t>
        </is>
      </c>
      <c r="O10" s="10" t="inlineStr"/>
    </row>
    <row r="11">
      <c r="A11" s="10" t="inlineStr">
        <is>
          <t>Kim 2023</t>
        </is>
      </c>
      <c r="B11" s="10" t="inlineStr">
        <is>
          <t>Detached tomato</t>
        </is>
      </c>
      <c r="C11" s="10" t="inlineStr">
        <is>
          <t>C</t>
        </is>
      </c>
      <c r="D11" s="10" t="inlineStr">
        <is>
          <t>D</t>
        </is>
      </c>
      <c r="E11" s="10" t="inlineStr">
        <is>
          <t>D</t>
        </is>
      </c>
      <c r="F11" s="10" t="inlineStr">
        <is>
          <t>C</t>
        </is>
      </c>
      <c r="G11" s="10" t="inlineStr">
        <is>
          <t>C</t>
        </is>
      </c>
      <c r="H11" s="10" t="inlineStr">
        <is>
          <t>B</t>
        </is>
      </c>
      <c r="I11" s="10" t="inlineStr">
        <is>
          <t>D</t>
        </is>
      </c>
      <c r="J11" s="10">
        <f>ROUND(AVERAGE(VLOOKUP(C11,Lists!$M$2:$N$5,2,FALSE),VLOOKUP(D11,Lists!$M$2:$N$5,2,FALSE),VLOOKUP(E11,Lists!$M$2:$N$5,2,FALSE),VLOOKUP(F11,Lists!$M$2:$N$5,2,FALSE),VLOOKUP(G11,Lists!$M$2:$N$5,2,FALSE),VLOOKUP(H11,Lists!$M$2:$N$5,2,FALSE),VLOOKUP(I11,Lists!$M$2:$N$5,2,FALSE)),2)</f>
        <v/>
      </c>
      <c r="K11" s="10">
        <f>COUNTIF(C11:I11,"D")</f>
        <v/>
      </c>
      <c r="L11" s="10">
        <f>IF(AND(D11&lt;&gt;"D",E11&lt;&gt;"D",I11&lt;&gt;"D"),"Partly closed","Open")</f>
        <v/>
      </c>
      <c r="M11" s="10" t="inlineStr">
        <is>
          <t>Epigenetic association without a discriminating mechanical control.</t>
        </is>
      </c>
      <c r="N11" s="10" t="inlineStr">
        <is>
          <t>Supplementary Table S3; verify exact source pages.</t>
        </is>
      </c>
      <c r="O11" s="10" t="inlineStr"/>
    </row>
    <row r="12">
      <c r="A12" s="10" t="inlineStr">
        <is>
          <t>Jeong 2023</t>
        </is>
      </c>
      <c r="B12" s="10" t="inlineStr">
        <is>
          <t>Detached tomato</t>
        </is>
      </c>
      <c r="C12" s="10" t="inlineStr">
        <is>
          <t>C</t>
        </is>
      </c>
      <c r="D12" s="10" t="inlineStr">
        <is>
          <t>D</t>
        </is>
      </c>
      <c r="E12" s="10" t="inlineStr">
        <is>
          <t>D</t>
        </is>
      </c>
      <c r="F12" s="10" t="inlineStr">
        <is>
          <t>B</t>
        </is>
      </c>
      <c r="G12" s="10" t="inlineStr">
        <is>
          <t>C</t>
        </is>
      </c>
      <c r="H12" s="10" t="inlineStr">
        <is>
          <t>C</t>
        </is>
      </c>
      <c r="I12" s="10" t="inlineStr">
        <is>
          <t>D</t>
        </is>
      </c>
      <c r="J12" s="10">
        <f>ROUND(AVERAGE(VLOOKUP(C12,Lists!$M$2:$N$5,2,FALSE),VLOOKUP(D12,Lists!$M$2:$N$5,2,FALSE),VLOOKUP(E12,Lists!$M$2:$N$5,2,FALSE),VLOOKUP(F12,Lists!$M$2:$N$5,2,FALSE),VLOOKUP(G12,Lists!$M$2:$N$5,2,FALSE),VLOOKUP(H12,Lists!$M$2:$N$5,2,FALSE),VLOOKUP(I12,Lists!$M$2:$N$5,2,FALSE)),2)</f>
        <v/>
      </c>
      <c r="K12" s="10">
        <f>COUNTIF(C12:I12,"D")</f>
        <v/>
      </c>
      <c r="L12" s="10">
        <f>IF(AND(D12&lt;&gt;"D",E12&lt;&gt;"D",I12&lt;&gt;"D"),"Partly closed","Open")</f>
        <v/>
      </c>
      <c r="M12" s="10" t="inlineStr">
        <is>
          <t>Selected metabolomic set and different nominal level.</t>
        </is>
      </c>
      <c r="N12" s="10" t="inlineStr">
        <is>
          <t>Supplementary Table S3; verify exact source pages.</t>
        </is>
      </c>
      <c r="O12" s="10" t="inlineStr"/>
    </row>
    <row r="13">
      <c r="A13" s="10" t="inlineStr">
        <is>
          <t>Ozkurt &amp; Altuntas 2018</t>
        </is>
      </c>
      <c r="B13" s="10" t="inlineStr">
        <is>
          <t>Fruit on living strawberry plants</t>
        </is>
      </c>
      <c r="C13" s="10" t="inlineStr">
        <is>
          <t>C</t>
        </is>
      </c>
      <c r="D13" s="10" t="inlineStr">
        <is>
          <t>D</t>
        </is>
      </c>
      <c r="E13" s="10" t="inlineStr">
        <is>
          <t>D</t>
        </is>
      </c>
      <c r="F13" s="10" t="inlineStr">
        <is>
          <t>C</t>
        </is>
      </c>
      <c r="G13" s="10" t="inlineStr">
        <is>
          <t>C</t>
        </is>
      </c>
      <c r="H13" s="10" t="inlineStr">
        <is>
          <t>B</t>
        </is>
      </c>
      <c r="I13" s="10" t="inlineStr">
        <is>
          <t>D</t>
        </is>
      </c>
      <c r="J13" s="10">
        <f>ROUND(AVERAGE(VLOOKUP(C13,Lists!$M$2:$N$5,2,FALSE),VLOOKUP(D13,Lists!$M$2:$N$5,2,FALSE),VLOOKUP(E13,Lists!$M$2:$N$5,2,FALSE),VLOOKUP(F13,Lists!$M$2:$N$5,2,FALSE),VLOOKUP(G13,Lists!$M$2:$N$5,2,FALSE),VLOOKUP(H13,Lists!$M$2:$N$5,2,FALSE),VLOOKUP(I13,Lists!$M$2:$N$5,2,FALSE)),2)</f>
        <v/>
      </c>
      <c r="K13" s="10">
        <f>COUNTIF(C13:I13,"D")</f>
        <v/>
      </c>
      <c r="L13" s="10">
        <f>IF(AND(D13&lt;&gt;"D",E13&lt;&gt;"D",I13&lt;&gt;"D"),"Partly closed","Open")</f>
        <v/>
      </c>
      <c r="M13" s="10" t="inlineStr">
        <is>
          <t>Whole-plant exposure is adjacent evidence, not a detached-fruit process.</t>
        </is>
      </c>
      <c r="N13" s="10" t="inlineStr">
        <is>
          <t>Supplementary Table S3; verify exact source pages.</t>
        </is>
      </c>
      <c r="O13" s="10" t="inlineStr"/>
    </row>
    <row r="14">
      <c r="A14" s="10" t="inlineStr">
        <is>
          <t>Altuntas &amp; Ozkurt 2019</t>
        </is>
      </c>
      <c r="B14" s="10" t="inlineStr">
        <is>
          <t>Fruit on living tomato plants</t>
        </is>
      </c>
      <c r="C14" s="10" t="inlineStr">
        <is>
          <t>C</t>
        </is>
      </c>
      <c r="D14" s="10" t="inlineStr">
        <is>
          <t>D</t>
        </is>
      </c>
      <c r="E14" s="10" t="inlineStr">
        <is>
          <t>D</t>
        </is>
      </c>
      <c r="F14" s="10" t="inlineStr">
        <is>
          <t>C</t>
        </is>
      </c>
      <c r="G14" s="10" t="inlineStr">
        <is>
          <t>C</t>
        </is>
      </c>
      <c r="H14" s="10" t="inlineStr">
        <is>
          <t>C</t>
        </is>
      </c>
      <c r="I14" s="10" t="inlineStr">
        <is>
          <t>D</t>
        </is>
      </c>
      <c r="J14" s="10">
        <f>ROUND(AVERAGE(VLOOKUP(C14,Lists!$M$2:$N$5,2,FALSE),VLOOKUP(D14,Lists!$M$2:$N$5,2,FALSE),VLOOKUP(E14,Lists!$M$2:$N$5,2,FALSE),VLOOKUP(F14,Lists!$M$2:$N$5,2,FALSE),VLOOKUP(G14,Lists!$M$2:$N$5,2,FALSE),VLOOKUP(H14,Lists!$M$2:$N$5,2,FALSE),VLOOKUP(I14,Lists!$M$2:$N$5,2,FALSE)),2)</f>
        <v/>
      </c>
      <c r="K14" s="10">
        <f>COUNTIF(C14:I14,"D")</f>
        <v/>
      </c>
      <c r="L14" s="10">
        <f>IF(AND(D14&lt;&gt;"D",E14&lt;&gt;"D",I14&lt;&gt;"D"),"Partly closed","Open")</f>
        <v/>
      </c>
      <c r="M14" s="10" t="inlineStr">
        <is>
          <t>Frequency is confounded with time and order.</t>
        </is>
      </c>
      <c r="N14" s="10" t="inlineStr">
        <is>
          <t>Supplementary Table S3; verify exact source pages.</t>
        </is>
      </c>
      <c r="O14" s="10" t="inlineStr"/>
    </row>
    <row r="17" ht="22" customHeight="1">
      <c r="A17" s="8" t="inlineStr">
        <is>
          <t>Domain summary</t>
        </is>
      </c>
    </row>
    <row r="18">
      <c r="A18" s="9" t="inlineStr">
        <is>
          <t>Domain</t>
        </is>
      </c>
      <c r="B18" s="9" t="inlineStr">
        <is>
          <t>A count</t>
        </is>
      </c>
      <c r="C18" s="9" t="inlineStr">
        <is>
          <t>B count</t>
        </is>
      </c>
      <c r="D18" s="9" t="inlineStr">
        <is>
          <t>C count</t>
        </is>
      </c>
      <c r="E18" s="9" t="inlineStr">
        <is>
          <t>D count</t>
        </is>
      </c>
      <c r="F18" s="9" t="inlineStr">
        <is>
          <t>Mean grade</t>
        </is>
      </c>
      <c r="G18" s="9" t="inlineStr">
        <is>
          <t>Interpretive note</t>
        </is>
      </c>
    </row>
    <row r="19">
      <c r="A19" s="10" t="inlineStr">
        <is>
          <t>Loaded field</t>
        </is>
      </c>
      <c r="B19" s="10">
        <f>COUNTIF(C$8:C$14,"A")</f>
        <v/>
      </c>
      <c r="C19" s="10">
        <f>COUNTIF(C$8:C$14,"B")</f>
        <v/>
      </c>
      <c r="D19" s="10">
        <f>COUNTIF(C$8:C$14,"C")</f>
        <v/>
      </c>
      <c r="E19" s="10">
        <f>COUNTIF(C$8:C$14,"D")</f>
        <v/>
      </c>
      <c r="F19" s="10">
        <f>ROUND(AVERAGE(VLOOKUP(C$8,Lists!$M$2:$N$5,2,FALSE),VLOOKUP(C$9,Lists!$M$2:$N$5,2,FALSE),VLOOKUP(C$10,Lists!$M$2:$N$5,2,FALSE),VLOOKUP(C$11,Lists!$M$2:$N$5,2,FALSE),VLOOKUP(C$12,Lists!$M$2:$N$5,2,FALSE),VLOOKUP(C$13,Lists!$M$2:$N$5,2,FALSE),VLOOKUP(C$14,Lists!$M$2:$N$5,2,FALSE)),2)</f>
        <v/>
      </c>
      <c r="G19" s="10" t="inlineStr">
        <is>
          <t>Nominal / partial characterization dominates.</t>
        </is>
      </c>
    </row>
    <row r="20">
      <c r="A20" s="10" t="inlineStr">
        <is>
          <t>Receiver motion</t>
        </is>
      </c>
      <c r="B20" s="10">
        <f>COUNTIF(D$8:D$14,"A")</f>
        <v/>
      </c>
      <c r="C20" s="10">
        <f>COUNTIF(D$8:D$14,"B")</f>
        <v/>
      </c>
      <c r="D20" s="10">
        <f>COUNTIF(D$8:D$14,"C")</f>
        <v/>
      </c>
      <c r="E20" s="10">
        <f>COUNTIF(D$8:D$14,"D")</f>
        <v/>
      </c>
      <c r="F20" s="10">
        <f>ROUND(AVERAGE(VLOOKUP(D$8,Lists!$M$2:$N$5,2,FALSE),VLOOKUP(D$9,Lists!$M$2:$N$5,2,FALSE),VLOOKUP(D$10,Lists!$M$2:$N$5,2,FALSE),VLOOKUP(D$11,Lists!$M$2:$N$5,2,FALSE),VLOOKUP(D$12,Lists!$M$2:$N$5,2,FALSE),VLOOKUP(D$13,Lists!$M$2:$N$5,2,FALSE),VLOOKUP(D$14,Lists!$M$2:$N$5,2,FALSE)),2)</f>
        <v/>
      </c>
      <c r="G20" s="10" t="inlineStr">
        <is>
          <t>Principal physical link remains unmeasured.</t>
        </is>
      </c>
    </row>
    <row r="21">
      <c r="A21" s="10" t="inlineStr">
        <is>
          <t>Support isolated</t>
        </is>
      </c>
      <c r="B21" s="10">
        <f>COUNTIF(E$8:E$14,"A")</f>
        <v/>
      </c>
      <c r="C21" s="10">
        <f>COUNTIF(E$8:E$14,"B")</f>
        <v/>
      </c>
      <c r="D21" s="10">
        <f>COUNTIF(E$8:E$14,"C")</f>
        <v/>
      </c>
      <c r="E21" s="10">
        <f>COUNTIF(E$8:E$14,"D")</f>
        <v/>
      </c>
      <c r="F21" s="10">
        <f>ROUND(AVERAGE(VLOOKUP(E$8,Lists!$M$2:$N$5,2,FALSE),VLOOKUP(E$9,Lists!$M$2:$N$5,2,FALSE),VLOOKUP(E$10,Lists!$M$2:$N$5,2,FALSE),VLOOKUP(E$11,Lists!$M$2:$N$5,2,FALSE),VLOOKUP(E$12,Lists!$M$2:$N$5,2,FALSE),VLOOKUP(E$13,Lists!$M$2:$N$5,2,FALSE),VLOOKUP(E$14,Lists!$M$2:$N$5,2,FALSE)),2)</f>
        <v/>
      </c>
      <c r="G21" s="10" t="inlineStr">
        <is>
          <t>Airborne and structure-borne routes remain confounded.</t>
        </is>
      </c>
    </row>
    <row r="22">
      <c r="A22" s="10" t="inlineStr">
        <is>
          <t>Thermal / gas sham</t>
        </is>
      </c>
      <c r="B22" s="10">
        <f>COUNTIF(F$8:F$14,"A")</f>
        <v/>
      </c>
      <c r="C22" s="10">
        <f>COUNTIF(F$8:F$14,"B")</f>
        <v/>
      </c>
      <c r="D22" s="10">
        <f>COUNTIF(F$8:F$14,"C")</f>
        <v/>
      </c>
      <c r="E22" s="10">
        <f>COUNTIF(F$8:F$14,"D")</f>
        <v/>
      </c>
      <c r="F22" s="10">
        <f>ROUND(AVERAGE(VLOOKUP(F$8,Lists!$M$2:$N$5,2,FALSE),VLOOKUP(F$9,Lists!$M$2:$N$5,2,FALSE),VLOOKUP(F$10,Lists!$M$2:$N$5,2,FALSE),VLOOKUP(F$11,Lists!$M$2:$N$5,2,FALSE),VLOOKUP(F$12,Lists!$M$2:$N$5,2,FALSE),VLOOKUP(F$13,Lists!$M$2:$N$5,2,FALSE),VLOOKUP(F$14,Lists!$M$2:$N$5,2,FALSE)),2)</f>
        <v/>
      </c>
      <c r="G22" s="10" t="inlineStr">
        <is>
          <t>Controls vary; environmental routes remain plausible.</t>
        </is>
      </c>
    </row>
    <row r="23">
      <c r="A23" s="10" t="inlineStr">
        <is>
          <t>Fruit-level unit</t>
        </is>
      </c>
      <c r="B23" s="10">
        <f>COUNTIF(G$8:G$14,"A")</f>
        <v/>
      </c>
      <c r="C23" s="10">
        <f>COUNTIF(G$8:G$14,"B")</f>
        <v/>
      </c>
      <c r="D23" s="10">
        <f>COUNTIF(G$8:G$14,"C")</f>
        <v/>
      </c>
      <c r="E23" s="10">
        <f>COUNTIF(G$8:G$14,"D")</f>
        <v/>
      </c>
      <c r="F23" s="10">
        <f>ROUND(AVERAGE(VLOOKUP(G$8,Lists!$M$2:$N$5,2,FALSE),VLOOKUP(G$9,Lists!$M$2:$N$5,2,FALSE),VLOOKUP(G$10,Lists!$M$2:$N$5,2,FALSE),VLOOKUP(G$11,Lists!$M$2:$N$5,2,FALSE),VLOOKUP(G$12,Lists!$M$2:$N$5,2,FALSE),VLOOKUP(G$13,Lists!$M$2:$N$5,2,FALSE),VLOOKUP(G$14,Lists!$M$2:$N$5,2,FALSE)),2)</f>
        <v/>
      </c>
      <c r="G23" s="10" t="inlineStr">
        <is>
          <t>Outcome unit needs full-text verification in several studies.</t>
        </is>
      </c>
    </row>
    <row r="24">
      <c r="A24" s="10" t="inlineStr">
        <is>
          <t>Internal replication</t>
        </is>
      </c>
      <c r="B24" s="10">
        <f>COUNTIF(H$8:H$14,"A")</f>
        <v/>
      </c>
      <c r="C24" s="10">
        <f>COUNTIF(H$8:H$14,"B")</f>
        <v/>
      </c>
      <c r="D24" s="10">
        <f>COUNTIF(H$8:H$14,"C")</f>
        <v/>
      </c>
      <c r="E24" s="10">
        <f>COUNTIF(H$8:H$14,"D")</f>
        <v/>
      </c>
      <c r="F24" s="10">
        <f>ROUND(AVERAGE(VLOOKUP(H$8,Lists!$M$2:$N$5,2,FALSE),VLOOKUP(H$9,Lists!$M$2:$N$5,2,FALSE),VLOOKUP(H$10,Lists!$M$2:$N$5,2,FALSE),VLOOKUP(H$11,Lists!$M$2:$N$5,2,FALSE),VLOOKUP(H$12,Lists!$M$2:$N$5,2,FALSE),VLOOKUP(H$13,Lists!$M$2:$N$5,2,FALSE),VLOOKUP(H$14,Lists!$M$2:$N$5,2,FALSE)),2)</f>
        <v/>
      </c>
      <c r="G24" s="10" t="inlineStr">
        <is>
          <t>Bounded internal signals exist, but connected lineage limits independence.</t>
        </is>
      </c>
    </row>
    <row r="25">
      <c r="A25" s="10" t="inlineStr">
        <is>
          <t>External confirmation</t>
        </is>
      </c>
      <c r="B25" s="10">
        <f>COUNTIF(I$8:I$14,"A")</f>
        <v/>
      </c>
      <c r="C25" s="10">
        <f>COUNTIF(I$8:I$14,"B")</f>
        <v/>
      </c>
      <c r="D25" s="10">
        <f>COUNTIF(I$8:I$14,"C")</f>
        <v/>
      </c>
      <c r="E25" s="10">
        <f>COUNTIF(I$8:I$14,"D")</f>
        <v/>
      </c>
      <c r="F25" s="10">
        <f>ROUND(AVERAGE(VLOOKUP(I$8,Lists!$M$2:$N$5,2,FALSE),VLOOKUP(I$9,Lists!$M$2:$N$5,2,FALSE),VLOOKUP(I$10,Lists!$M$2:$N$5,2,FALSE),VLOOKUP(I$11,Lists!$M$2:$N$5,2,FALSE),VLOOKUP(I$12,Lists!$M$2:$N$5,2,FALSE),VLOOKUP(I$13,Lists!$M$2:$N$5,2,FALSE),VLOOKUP(I$14,Lists!$M$2:$N$5,2,FALSE)),2)</f>
        <v/>
      </c>
      <c r="G25" s="10" t="inlineStr">
        <is>
          <t>No external transfer identified in retained corpus.</t>
        </is>
      </c>
    </row>
  </sheetData>
  <mergeCells count="13">
    <mergeCell ref="A4:B4"/>
    <mergeCell ref="G4:H4"/>
    <mergeCell ref="J4:K4"/>
    <mergeCell ref="A2:O2"/>
    <mergeCell ref="J5:K5"/>
    <mergeCell ref="D5:E5"/>
    <mergeCell ref="A5:B5"/>
    <mergeCell ref="G5:H5"/>
    <mergeCell ref="A1:O1"/>
    <mergeCell ref="D4:E4"/>
    <mergeCell ref="M5:N5"/>
    <mergeCell ref="A17:O17"/>
    <mergeCell ref="M4:N4"/>
  </mergeCells>
  <conditionalFormatting sqref="C8:I14">
    <cfRule type="expression" priority="1" dxfId="0">
      <formula>C8="A"</formula>
    </cfRule>
    <cfRule type="expression" priority="2" dxfId="1">
      <formula>C8="B"</formula>
    </cfRule>
    <cfRule type="expression" priority="3" dxfId="2">
      <formula>C8="C"</formula>
    </cfRule>
    <cfRule type="expression" priority="4" dxfId="4">
      <formula>C8="D"</formula>
    </cfRule>
  </conditionalFormatting>
  <conditionalFormatting sqref="J8:J14">
    <cfRule type="cellIs" priority="5" operator="lessThan" dxfId="4">
      <formula>2</formula>
    </cfRule>
    <cfRule type="cellIs" priority="6" operator="between" dxfId="2">
      <formula>2</formula>
      <formula>2.99</formula>
    </cfRule>
    <cfRule type="cellIs" priority="7" operator="between" dxfId="1">
      <formula>3</formula>
      <formula>3.49</formula>
    </cfRule>
    <cfRule type="cellIs" priority="8" operator="greaterThanOrEqual" dxfId="0">
      <formula>3.5</formula>
    </cfRule>
  </conditionalFormatting>
  <dataValidations count="1">
    <dataValidation sqref="C8:I14" showDropDown="0" showInputMessage="0" showErrorMessage="0" allowBlank="1" type="list">
      <formula1>=Lists!$I$2:$I$5</formula1>
    </dataValidation>
  </dataValidations>
  <pageMargins left="0.25" right="0.25" top="0.4" bottom="0.4" header="0.5" footer="0.5"/>
  <pageSetup orientation="landscape" fitToHeight="0" fitToWidth="1"/>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tabColor rgb="00ED7D31"/>
    <outlinePr summaryBelow="1" summaryRight="1"/>
    <pageSetUpPr fitToPage="1"/>
  </sheetPr>
  <dimension ref="A1:P10"/>
  <sheetViews>
    <sheetView showGridLines="0" zoomScale="70" workbookViewId="0">
      <pane ySplit="3" topLeftCell="A4" activePane="bottomLeft" state="frozen"/>
      <selection pane="bottomLeft" activeCell="A1" sqref="A1"/>
    </sheetView>
  </sheetViews>
  <sheetFormatPr baseColWidth="8" defaultRowHeight="15"/>
  <cols>
    <col width="8" customWidth="1" min="1" max="1"/>
    <col width="46" customWidth="1" min="2" max="2"/>
    <col width="36" customWidth="1" min="3" max="3"/>
    <col width="38" customWidth="1" min="4" max="4"/>
    <col width="38" customWidth="1" min="5" max="5"/>
    <col width="44" customWidth="1" min="6" max="6"/>
    <col width="40" customWidth="1" min="7" max="7"/>
    <col width="46" customWidth="1" min="8" max="8"/>
    <col width="44" customWidth="1" min="9" max="9"/>
    <col width="44" customWidth="1" min="10" max="10"/>
    <col width="24" customWidth="1" min="11" max="11"/>
    <col width="12" customWidth="1" min="12" max="12"/>
    <col width="18" customWidth="1" min="13" max="13"/>
    <col width="15" customWidth="1" min="14" max="14"/>
    <col width="13" customWidth="1" min="15" max="15"/>
    <col width="30" customWidth="1" min="16" max="16"/>
  </cols>
  <sheetData>
    <row r="1" ht="30" customHeight="1">
      <c r="A1" s="1" t="inlineStr">
        <is>
          <t>Contradiction and Rival-Explanation Matrix</t>
        </is>
      </c>
    </row>
    <row r="2" ht="28" customHeight="1">
      <c r="A2" s="2" t="inlineStr">
        <is>
          <t>Convert apparent disagreement into hidden variables, discriminating measurements, pass conditions and explicit failure interpretations.</t>
        </is>
      </c>
    </row>
    <row r="3">
      <c r="A3" s="9" t="inlineStr">
        <is>
          <t>ID</t>
        </is>
      </c>
      <c r="B3" s="9" t="inlineStr">
        <is>
          <t>Apparent contradiction / claim</t>
        </is>
      </c>
      <c r="C3" s="9" t="inlineStr">
        <is>
          <t>Literature clusters</t>
        </is>
      </c>
      <c r="D3" s="9" t="inlineStr">
        <is>
          <t>Where evidence agrees</t>
        </is>
      </c>
      <c r="E3" s="9" t="inlineStr">
        <is>
          <t>Where evidence differs</t>
        </is>
      </c>
      <c r="F3" s="9" t="inlineStr">
        <is>
          <t>Hidden variable / rival explanation</t>
        </is>
      </c>
      <c r="G3" s="9" t="inlineStr">
        <is>
          <t>Measurement required</t>
        </is>
      </c>
      <c r="H3" s="9" t="inlineStr">
        <is>
          <t>Decisive experiment</t>
        </is>
      </c>
      <c r="I3" s="9" t="inlineStr">
        <is>
          <t>Result supporting receiver-centred interpretation</t>
        </is>
      </c>
      <c r="J3" s="9" t="inlineStr">
        <is>
          <t>Failure condition / next inference</t>
        </is>
      </c>
      <c r="K3" s="9" t="inlineStr">
        <is>
          <t>Evidence class</t>
        </is>
      </c>
      <c r="L3" s="9" t="inlineStr">
        <is>
          <t>Priority</t>
        </is>
      </c>
      <c r="M3" s="9" t="inlineStr">
        <is>
          <t>Status</t>
        </is>
      </c>
      <c r="N3" s="9" t="inlineStr">
        <is>
          <t>Owner</t>
        </is>
      </c>
      <c r="O3" s="9" t="inlineStr">
        <is>
          <t>Due date</t>
        </is>
      </c>
      <c r="P3" s="9" t="inlineStr">
        <is>
          <t>Notes</t>
        </is>
      </c>
    </row>
    <row r="4">
      <c r="A4" s="10" t="inlineStr">
        <is>
          <t>X01</t>
        </is>
      </c>
      <c r="B4" s="10" t="inlineStr">
        <is>
          <t>Airborne sound effect versus structure-borne treatment</t>
        </is>
      </c>
      <c r="C4" s="10" t="inlineStr">
        <is>
          <t>Airborne-fruit intervention + transport vibration</t>
        </is>
      </c>
      <c r="D4" s="10" t="inlineStr">
        <is>
          <t>Multiple routes can move fruit or alter chamber conditions.</t>
        </is>
      </c>
      <c r="E4" s="10" t="inlineStr">
        <is>
          <t>Studies attribute outcome to “sound” without route separation.</t>
        </is>
      </c>
      <c r="F4" s="10" t="inlineStr">
        <is>
          <t>Loudspeaker reaction force, tray motion, packaging contact or altered microclimate</t>
        </is>
      </c>
      <c r="G4" s="10" t="inlineStr">
        <is>
          <t>Pressure and particle velocity, triaxial shelf acceleration, fruit-surface velocity, temperature, airflow and gases</t>
        </is>
      </c>
      <c r="H4" s="10" t="inlineStr">
        <is>
          <t>Mechanically isolate the source; include support-only shaker and matched microclimate shams</t>
        </is>
      </c>
      <c r="I4" s="10" t="inlineStr">
        <is>
          <t>Outcome follows measured airborne fruit motion after support and environment are bounded</t>
        </is>
      </c>
      <c r="J4" s="10" t="inlineStr">
        <is>
          <t>Outcome follows tray acceleration or microclimate; reinterpret the route</t>
        </is>
      </c>
      <c r="K4" s="10" t="inlineStr">
        <is>
          <t>Evidence-based inference</t>
        </is>
      </c>
      <c r="L4" s="10" t="inlineStr">
        <is>
          <t>High</t>
        </is>
      </c>
      <c r="M4" s="10" t="inlineStr">
        <is>
          <t>In progress</t>
        </is>
      </c>
      <c r="N4" s="10" t="inlineStr"/>
      <c r="O4" s="10" t="inlineStr"/>
      <c r="P4" s="10" t="inlineStr"/>
    </row>
    <row r="5">
      <c r="A5" s="10" t="inlineStr">
        <is>
          <t>X02</t>
        </is>
      </c>
      <c r="B5" s="10" t="inlineStr">
        <is>
          <t>“Fruit resonance” versus chamber, tray or local peel mode</t>
        </is>
      </c>
      <c r="C5" s="10" t="inlineStr">
        <is>
          <t>Tomato modal analysis + 1 kHz treatment lineage</t>
        </is>
      </c>
      <c r="D5" s="10" t="inlineStr">
        <is>
          <t>Fruit and chambers have frequency-dependent responses.</t>
        </is>
      </c>
      <c r="E5" s="10" t="inlineStr">
        <is>
          <t>Treatment uses 1 kHz while reported low-order fruit modes lie in tens of hertz.</t>
        </is>
      </c>
      <c r="F5" s="10" t="inlineStr">
        <is>
          <t>Loaded enclosure modes, higher-order fruit modes, local contact modes</t>
        </is>
      </c>
      <c r="G5" s="10" t="inlineStr">
        <is>
          <t>Frequency-response function, mode shape, chamber map and support acceleration</t>
        </is>
      </c>
      <c r="H5" s="10" t="inlineStr">
        <is>
          <t>Hold local pressure constant on and away from a measured fruit response feature</t>
        </is>
      </c>
      <c r="I5" s="10" t="inlineStr">
        <is>
          <t>Response scales with fruit motion rather than on-label frequency</t>
        </is>
      </c>
      <c r="J5" s="10" t="inlineStr">
        <is>
          <t>No motion-dependent response; resonance explanation weakens</t>
        </is>
      </c>
      <c r="K5" s="10" t="inlineStr">
        <is>
          <t>Evidence-based inference</t>
        </is>
      </c>
      <c r="L5" s="10" t="inlineStr">
        <is>
          <t>High</t>
        </is>
      </c>
      <c r="M5" s="10" t="inlineStr">
        <is>
          <t>In progress</t>
        </is>
      </c>
      <c r="N5" s="10" t="inlineStr"/>
      <c r="O5" s="10" t="inlineStr"/>
      <c r="P5" s="10" t="inlineStr"/>
    </row>
    <row r="6">
      <c r="A6" s="10" t="inlineStr">
        <is>
          <t>X03</t>
        </is>
      </c>
      <c r="B6" s="10" t="inlineStr">
        <is>
          <t>Frequency-specific effect versus mechanically equivalent exposure</t>
        </is>
      </c>
      <c r="C6" s="10" t="inlineStr">
        <is>
          <t>Airborne-fruit intervention / physical metrology</t>
        </is>
      </c>
      <c r="D6" s="10" t="inlineStr">
        <is>
          <t>Source frequency changes receiver response unless amplitude is adjusted.</t>
        </is>
      </c>
      <c r="E6" s="10" t="inlineStr">
        <is>
          <t>Studies compare frequency at unequal receiver motion.</t>
        </is>
      </c>
      <c r="F6" s="10" t="inlineStr">
        <is>
          <t>Different amplitudes produce different receiver motion at each frequency</t>
        </is>
      </c>
      <c r="G6" s="10" t="inlineStr">
        <is>
          <t>Receiver motion or validated strain proxy with uncertainty</t>
        </is>
      </c>
      <c r="H6" s="10" t="inlineStr">
        <is>
          <t>Adjust amplitude so two frequencies produce matched receiver exposure</t>
        </is>
      </c>
      <c r="I6" s="10" t="inlineStr">
        <is>
          <t>Comparable longitudinal quality at matched exposure</t>
        </is>
      </c>
      <c r="J6" s="10" t="inlineStr">
        <is>
          <t>Persistent frequency effect indicates another mechanism or measurement variable</t>
        </is>
      </c>
      <c r="K6" s="10" t="inlineStr">
        <is>
          <t>Evidence-based inference</t>
        </is>
      </c>
      <c r="L6" s="10" t="inlineStr">
        <is>
          <t>High</t>
        </is>
      </c>
      <c r="M6" s="10" t="inlineStr">
        <is>
          <t>In progress</t>
        </is>
      </c>
      <c r="N6" s="10" t="inlineStr"/>
      <c r="O6" s="10" t="inlineStr"/>
      <c r="P6" s="10" t="inlineStr"/>
    </row>
    <row r="7">
      <c r="A7" s="10" t="inlineStr">
        <is>
          <t>X04</t>
        </is>
      </c>
      <c r="B7" s="10" t="inlineStr">
        <is>
          <t>Total energy versus peak, rate or recovery dependence</t>
        </is>
      </c>
      <c r="C7" s="10" t="inlineStr">
        <is>
          <t>Ultrasound pulsed/continuous + fatigue/adaptation literature</t>
        </is>
      </c>
      <c r="D7" s="10" t="inlineStr">
        <is>
          <t>Waveform and exposure history can change outcome.</t>
        </is>
      </c>
      <c r="E7" s="10" t="inlineStr">
        <is>
          <t>Total energy is often used although peak/rate/recovery may dominate.</t>
        </is>
      </c>
      <c r="F7" s="10" t="inlineStr">
        <is>
          <t>Threshold activation, fatigue, crest factor, duty cycle or adaptation</t>
        </is>
      </c>
      <c r="G7" s="10" t="inlineStr">
        <is>
          <t>Peak strain, strain rate, cycle count, duty cycle and recovery response</t>
        </is>
      </c>
      <c r="H7" s="10" t="inlineStr">
        <is>
          <t>Match total work while varying peak, pulse structure and recovery</t>
        </is>
      </c>
      <c r="I7" s="10" t="inlineStr">
        <is>
          <t>Outcome follows the prespecified peak/rate/history variable</t>
        </is>
      </c>
      <c r="J7" s="10" t="inlineStr">
        <is>
          <t>No stable exposure–response relation; revise the predictor</t>
        </is>
      </c>
      <c r="K7" s="10" t="inlineStr">
        <is>
          <t>Evidence-based inference</t>
        </is>
      </c>
      <c r="L7" s="10" t="inlineStr">
        <is>
          <t>Medium</t>
        </is>
      </c>
      <c r="M7" s="10" t="inlineStr">
        <is>
          <t>In progress</t>
        </is>
      </c>
      <c r="N7" s="10" t="inlineStr"/>
      <c r="O7" s="10" t="inlineStr"/>
      <c r="P7" s="10" t="inlineStr"/>
    </row>
    <row r="8">
      <c r="A8" s="10" t="inlineStr">
        <is>
          <t>X05</t>
        </is>
      </c>
      <c r="B8" s="10" t="inlineStr">
        <is>
          <t>Molecular pathway versus maturity marker</t>
        </is>
      </c>
      <c r="C8" s="10" t="inlineStr">
        <is>
          <t>Tomato omics + ripening physiology</t>
        </is>
      </c>
      <c r="D8" s="10" t="inlineStr">
        <is>
          <t>Molecular markers and maturity co-evolve over time.</t>
        </is>
      </c>
      <c r="E8" s="10" t="inlineStr">
        <is>
          <t>Downstream markers are interpreted as mediation without temporal closure.</t>
        </is>
      </c>
      <c r="F8" s="10" t="inlineStr">
        <is>
          <t>Sampling at different physiological stages; downstream association without mediation</t>
        </is>
      </c>
      <c r="G8" s="10" t="inlineStr">
        <is>
          <t>Motion, calcium/redox, hormone, transcription and quality on nested timescales</t>
        </is>
      </c>
      <c r="H8" s="10" t="inlineStr">
        <is>
          <t>Combine route measurement with state-aligned sampling and selective perturbation</t>
        </is>
      </c>
      <c r="I8" s="10" t="inlineStr">
        <is>
          <t>Temporal order and attenuation match the proposed chain</t>
        </is>
      </c>
      <c r="J8" s="10" t="inlineStr">
        <is>
          <t>Markers follow maturity or remain after pathway disruption</t>
        </is>
      </c>
      <c r="K8" s="10" t="inlineStr">
        <is>
          <t>Evidence-based inference</t>
        </is>
      </c>
      <c r="L8" s="10" t="inlineStr">
        <is>
          <t>Medium</t>
        </is>
      </c>
      <c r="M8" s="10" t="inlineStr">
        <is>
          <t>In progress</t>
        </is>
      </c>
      <c r="N8" s="10" t="inlineStr"/>
      <c r="O8" s="10" t="inlineStr"/>
      <c r="P8" s="10" t="inlineStr"/>
    </row>
    <row r="9">
      <c r="A9" s="10" t="inlineStr">
        <is>
          <t>X06</t>
        </is>
      </c>
      <c r="B9" s="10" t="inlineStr">
        <is>
          <t>Cavitation effect versus heat or streaming</t>
        </is>
      </c>
      <c r="C9" s="10" t="inlineStr">
        <is>
          <t>Liquid power ultrasound / cavitation metrology</t>
        </is>
      </c>
      <c r="D9" s="10" t="inlineStr">
        <is>
          <t>Cavitation, streaming and heat co-occur in loaded baths.</t>
        </is>
      </c>
      <c r="E9" s="10" t="inlineStr">
        <is>
          <t>Nominal power is treated as cavitation exposure.</t>
        </is>
      </c>
      <c r="F9" s="10" t="inlineStr">
        <is>
          <t>Nominal watts, calorimetric heating and mass transfer confounded with bubble activity</t>
        </is>
      </c>
      <c r="G9" s="10" t="inlineStr">
        <is>
          <t>Calorimetry, cavitation metric, hydrophone map, dissolved gas and temperature</t>
        </is>
      </c>
      <c r="H9" s="10" t="inlineStr">
        <is>
          <t>Match bulk power and temperature while varying measured cavitation activity</t>
        </is>
      </c>
      <c r="I9" s="10" t="inlineStr">
        <is>
          <t>Outcome tracks cavitation rather than nominal power or heat</t>
        </is>
      </c>
      <c r="J9" s="10" t="inlineStr">
        <is>
          <t>Outcome tracks heat/streaming; do not label it cavitation</t>
        </is>
      </c>
      <c r="K9" s="10" t="inlineStr">
        <is>
          <t>Evidence-based inference</t>
        </is>
      </c>
      <c r="L9" s="10" t="inlineStr">
        <is>
          <t>Medium</t>
        </is>
      </c>
      <c r="M9" s="10" t="inlineStr">
        <is>
          <t>In progress</t>
        </is>
      </c>
      <c r="N9" s="10" t="inlineStr"/>
      <c r="O9" s="10" t="inlineStr"/>
      <c r="P9" s="10" t="inlineStr"/>
    </row>
    <row r="10">
      <c r="A10" s="10" t="inlineStr">
        <is>
          <t>X07</t>
        </is>
      </c>
      <c r="B10" s="10" t="inlineStr">
        <is>
          <t>Laboratory result versus transferable process</t>
        </is>
      </c>
      <c r="C10" s="10" t="inlineStr">
        <is>
          <t>All intervention + scale-up literature</t>
        </is>
      </c>
      <c r="D10" s="10" t="inlineStr">
        <is>
          <t>Position, load, batch and equipment affect exposure.</t>
        </is>
      </c>
      <c r="E10" s="10" t="inlineStr">
        <is>
          <t>Internal findings are often assumed to transfer without locked estimators.</t>
        </is>
      </c>
      <c r="F10" s="10" t="inlineStr">
        <is>
          <t>Position, batch, load, equipment or laboratory dependence</t>
        </is>
      </c>
      <c r="G10" s="10" t="inlineStr">
        <is>
          <t>Persistent fruit identity, spatial exposure map, uncertainty and external calibration</t>
        </is>
      </c>
      <c r="H10" s="10" t="inlineStr">
        <is>
          <t>Lock the estimator and test a new batch, load, chamber and laboratory</t>
        </is>
      </c>
      <c r="I10" s="10" t="inlineStr">
        <is>
          <t>Exposure–quality prediction remains calibrated outside development data</t>
        </is>
      </c>
      <c r="J10" s="10" t="inlineStr">
        <is>
          <t>Performance degrades; define a narrower operating domain or missing variable</t>
        </is>
      </c>
      <c r="K10" s="10" t="inlineStr">
        <is>
          <t>Evidence-based inference</t>
        </is>
      </c>
      <c r="L10" s="10" t="inlineStr">
        <is>
          <t>High</t>
        </is>
      </c>
      <c r="M10" s="10" t="inlineStr">
        <is>
          <t>In progress</t>
        </is>
      </c>
      <c r="N10" s="10" t="inlineStr"/>
      <c r="O10" s="10" t="inlineStr"/>
      <c r="P10" s="10" t="inlineStr"/>
    </row>
  </sheetData>
  <mergeCells count="2">
    <mergeCell ref="A1:P1"/>
    <mergeCell ref="A2:P2"/>
  </mergeCells>
  <conditionalFormatting sqref="L4:L10">
    <cfRule type="expression" priority="1" dxfId="4">
      <formula>$L4="Critical"</formula>
    </cfRule>
    <cfRule type="expression" priority="2" dxfId="3">
      <formula>$L4="High"</formula>
    </cfRule>
    <cfRule type="expression" priority="3" dxfId="2">
      <formula>$L4="Medium"</formula>
    </cfRule>
    <cfRule type="expression" priority="4" dxfId="0">
      <formula>$L4="Low"</formula>
    </cfRule>
  </conditionalFormatting>
  <conditionalFormatting sqref="M4:M10">
    <cfRule type="expression" priority="5" dxfId="0">
      <formula>$M4="Complete"</formula>
    </cfRule>
    <cfRule type="expression" priority="6" dxfId="1">
      <formula>$M4="In progress"</formula>
    </cfRule>
    <cfRule type="expression" priority="7" dxfId="2">
      <formula>$M4="Needs verification"</formula>
    </cfRule>
    <cfRule type="expression" priority="8" dxfId="3">
      <formula>$M4="Needs revision"</formula>
    </cfRule>
    <cfRule type="expression" priority="9" dxfId="4">
      <formula>$M4="Not started"</formula>
    </cfRule>
    <cfRule type="expression" priority="10" dxfId="5">
      <formula>$M4="Not applicable"</formula>
    </cfRule>
  </conditionalFormatting>
  <dataValidations count="3">
    <dataValidation sqref="K4:K10" showDropDown="0" showInputMessage="0" showErrorMessage="0" allowBlank="1" type="list">
      <formula1>=Lists!$E$2:$E$6</formula1>
    </dataValidation>
    <dataValidation sqref="L4:L10" showDropDown="0" showInputMessage="0" showErrorMessage="0" allowBlank="1" type="list">
      <formula1>=Lists!$C$2:$C$5</formula1>
    </dataValidation>
    <dataValidation sqref="M4:M10" showDropDown="0" showInputMessage="0" showErrorMessage="0" allowBlank="1" type="list">
      <formula1>=Lists!$A$2:$A$7</formula1>
    </dataValidation>
  </dataValidations>
  <pageMargins left="0.25" right="0.25" top="0.4" bottom="0.4" header="0.5" footer="0.5"/>
  <pageSetup orientation="landscape"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8064A2"/>
    <outlinePr summaryBelow="1" summaryRight="1"/>
    <pageSetUpPr fitToPage="1"/>
  </sheetPr>
  <dimension ref="A1:W13"/>
  <sheetViews>
    <sheetView showGridLines="0" zoomScale="70" workbookViewId="0">
      <pane ySplit="3" topLeftCell="A4" activePane="bottomLeft" state="frozen"/>
      <selection pane="bottomLeft" activeCell="A1" sqref="A1"/>
    </sheetView>
  </sheetViews>
  <sheetFormatPr baseColWidth="8" defaultRowHeight="15"/>
  <cols>
    <col width="8" customWidth="1" min="1" max="1"/>
    <col width="48" customWidth="1" min="2" max="2"/>
    <col width="16" customWidth="1" min="3" max="3"/>
    <col width="44" customWidth="1" min="4" max="4"/>
    <col width="38" customWidth="1" min="5" max="5"/>
    <col width="36" customWidth="1" min="6" max="6"/>
    <col width="48" customWidth="1" min="7" max="7"/>
    <col width="40" customWidth="1" min="8" max="8"/>
    <col width="38" customWidth="1" min="9" max="9"/>
    <col width="38" customWidth="1" min="10" max="10"/>
    <col width="40" customWidth="1" min="11" max="11"/>
    <col width="12" customWidth="1" min="12" max="12"/>
    <col width="12" customWidth="1" min="13" max="13"/>
    <col width="16" customWidth="1" min="14" max="14"/>
    <col width="15" customWidth="1" min="15" max="15"/>
    <col width="10" customWidth="1" min="16" max="16"/>
    <col width="14" customWidth="1" min="17" max="17"/>
    <col width="12" customWidth="1" min="18" max="18"/>
    <col width="18" customWidth="1" min="19" max="19"/>
    <col width="15" customWidth="1" min="20" max="20"/>
    <col width="16" customWidth="1" min="21" max="21"/>
    <col width="28" customWidth="1" min="22" max="22"/>
    <col width="30" customWidth="1" min="23" max="23"/>
  </cols>
  <sheetData>
    <row r="1" ht="30" customHeight="1">
      <c r="A1" s="1" t="inlineStr">
        <is>
          <t>High-Value Research Gaps and Innovation Priorities</t>
        </is>
      </c>
    </row>
    <row r="2" ht="28" customHeight="1">
      <c r="A2" s="2" t="inlineStr">
        <is>
          <t>Prioritize non-generic gaps by evidence, tractability, impact, falsifiability and industrial leverage.</t>
        </is>
      </c>
    </row>
    <row r="3">
      <c r="A3" s="9" t="inlineStr">
        <is>
          <t>Gap ID</t>
        </is>
      </c>
      <c r="B3" s="9" t="inlineStr">
        <is>
          <t>Precise gap</t>
        </is>
      </c>
      <c r="C3" s="9" t="inlineStr">
        <is>
          <t>Explicit / inferred</t>
        </is>
      </c>
      <c r="D3" s="9" t="inlineStr">
        <is>
          <t>Evidence it exists</t>
        </is>
      </c>
      <c r="E3" s="9" t="inlineStr">
        <is>
          <t>Why it is ignored</t>
        </is>
      </c>
      <c r="F3" s="9" t="inlineStr">
        <is>
          <t>Hidden variable / leverage point</t>
        </is>
      </c>
      <c r="G3" s="9" t="inlineStr">
        <is>
          <t>Proposed experiment</t>
        </is>
      </c>
      <c r="H3" s="9" t="inlineStr">
        <is>
          <t>Key measurements</t>
        </is>
      </c>
      <c r="I3" s="9" t="inlineStr">
        <is>
          <t>Expected result</t>
        </is>
      </c>
      <c r="J3" s="9" t="inlineStr">
        <is>
          <t>Failure condition</t>
        </is>
      </c>
      <c r="K3" s="9" t="inlineStr">
        <is>
          <t>Impact if solved</t>
        </is>
      </c>
      <c r="L3" s="9" t="inlineStr">
        <is>
          <t>Feasibility (1–5)</t>
        </is>
      </c>
      <c r="M3" s="9" t="inlineStr">
        <is>
          <t>Novelty (1–5)</t>
        </is>
      </c>
      <c r="N3" s="9" t="inlineStr">
        <is>
          <t>Citation utility (1–5)</t>
        </is>
      </c>
      <c r="O3" s="9" t="inlineStr">
        <is>
          <t>Industrial value (1–5)</t>
        </is>
      </c>
      <c r="P3" s="9" t="inlineStr">
        <is>
          <t>Risk (1–5)</t>
        </is>
      </c>
      <c r="Q3" s="9" t="inlineStr">
        <is>
          <t>Priority score</t>
        </is>
      </c>
      <c r="R3" s="9" t="inlineStr">
        <is>
          <t>Priority</t>
        </is>
      </c>
      <c r="S3" s="9" t="inlineStr">
        <is>
          <t>Status</t>
        </is>
      </c>
      <c r="T3" s="9" t="inlineStr">
        <is>
          <t>Owner</t>
        </is>
      </c>
      <c r="U3" s="9" t="inlineStr">
        <is>
          <t>Time horizon</t>
        </is>
      </c>
      <c r="V3" s="9" t="inlineStr">
        <is>
          <t>Source</t>
        </is>
      </c>
      <c r="W3" s="9" t="inlineStr">
        <is>
          <t>Notes</t>
        </is>
      </c>
    </row>
    <row r="4">
      <c r="A4" s="10" t="inlineStr">
        <is>
          <t>G01</t>
        </is>
      </c>
      <c r="B4" s="10" t="inlineStr">
        <is>
          <t>Loaded chamber fields are not linked to fruit motion in the same identified fruit.</t>
        </is>
      </c>
      <c r="C4" s="10" t="inlineStr">
        <is>
          <t>Explicit</t>
        </is>
      </c>
      <c r="D4" s="10" t="inlineStr">
        <is>
          <t>0/7 receiver-motion finding; source-to-shelf break.</t>
        </is>
      </c>
      <c r="E4" s="10" t="inlineStr">
        <is>
          <t>Requires synchronized acoustic and mechanical metrology under biological loading.</t>
        </is>
      </c>
      <c r="F4" s="10" t="inlineStr">
        <is>
          <t>Receiver motion at each product position.</t>
        </is>
      </c>
      <c r="G4" s="10" t="inlineStr">
        <is>
          <t>Map pressure/particle velocity/support acceleration and laser-vibrometry response for tagged fruit.</t>
        </is>
      </c>
      <c r="H4" s="10" t="inlineStr">
        <is>
          <t>Pa, m s⁻¹, m s⁻², FRF, uncertainty, position.</t>
        </is>
      </c>
      <c r="I4" s="10" t="inlineStr">
        <is>
          <t>Explains variance and identifies dominant route.</t>
        </is>
      </c>
      <c r="J4" s="10" t="inlineStr">
        <is>
          <t>Motion does not improve prediction over source settings.</t>
        </is>
      </c>
      <c r="K4" s="10" t="inlineStr">
        <is>
          <t>Causal closure; common basis for scale-up.</t>
        </is>
      </c>
      <c r="L4" s="10" t="n">
        <v>4</v>
      </c>
      <c r="M4" s="10" t="n">
        <v>5</v>
      </c>
      <c r="N4" s="10" t="n">
        <v>5</v>
      </c>
      <c r="O4" s="10" t="n">
        <v>5</v>
      </c>
      <c r="P4" s="10" t="n">
        <v>3</v>
      </c>
      <c r="Q4" s="10">
        <f>ROUND((L4*0.20+M4*0.20+N4*0.20+O4*0.25+(6-P4)*0.15)*20,1)</f>
        <v/>
      </c>
      <c r="R4" s="10" t="inlineStr">
        <is>
          <t>Critical</t>
        </is>
      </c>
      <c r="S4" s="10" t="inlineStr">
        <is>
          <t>In progress</t>
        </is>
      </c>
      <c r="T4" s="10" t="inlineStr"/>
      <c r="U4" s="10" t="inlineStr">
        <is>
          <t>12–24 months</t>
        </is>
      </c>
      <c r="V4" s="10" t="inlineStr">
        <is>
          <t>Table 2 / Figure 3</t>
        </is>
      </c>
      <c r="W4" s="10" t="inlineStr"/>
    </row>
    <row r="5">
      <c r="A5" s="10" t="inlineStr">
        <is>
          <t>G02</t>
        </is>
      </c>
      <c r="B5" s="10" t="inlineStr">
        <is>
          <t>Airborne and structure-borne routes are not experimentally separated.</t>
        </is>
      </c>
      <c r="C5" s="10" t="inlineStr">
        <is>
          <t>Explicit</t>
        </is>
      </c>
      <c r="D5" s="10" t="inlineStr">
        <is>
          <t>Support isolation graded D across retained corpus.</t>
        </is>
      </c>
      <c r="E5" s="10" t="inlineStr">
        <is>
          <t>Speaker reaction force and tray contact are easy to overlook.</t>
        </is>
      </c>
      <c r="F5" s="10" t="inlineStr">
        <is>
          <t>Gate-zero route identification.</t>
        </is>
      </c>
      <c r="G5" s="10" t="inlineStr">
        <is>
          <t>Mechanically isolate source; support-only shaker; matched microclimate shams.</t>
        </is>
      </c>
      <c r="H5" s="10" t="inlineStr">
        <is>
          <t>Tray acceleration, fruit motion, pressure field, airflow, temperature.</t>
        </is>
      </c>
      <c r="I5" s="10" t="inlineStr">
        <is>
          <t>Outcome follows one bounded route.</t>
        </is>
      </c>
      <c r="J5" s="10" t="inlineStr">
        <is>
          <t>Multiple uncontrolled routes remain inseparable.</t>
        </is>
      </c>
      <c r="K5" s="10" t="inlineStr">
        <is>
          <t>Prevents misclassification of treatment mechanism.</t>
        </is>
      </c>
      <c r="L5" s="10" t="n">
        <v>5</v>
      </c>
      <c r="M5" s="10" t="n">
        <v>5</v>
      </c>
      <c r="N5" s="10" t="n">
        <v>5</v>
      </c>
      <c r="O5" s="10" t="n">
        <v>5</v>
      </c>
      <c r="P5" s="10" t="n">
        <v>2</v>
      </c>
      <c r="Q5" s="10">
        <f>ROUND((L5*0.20+M5*0.20+N5*0.20+O5*0.25+(6-P5)*0.15)*20,1)</f>
        <v/>
      </c>
      <c r="R5" s="10" t="inlineStr">
        <is>
          <t>Critical</t>
        </is>
      </c>
      <c r="S5" s="10" t="inlineStr">
        <is>
          <t>In progress</t>
        </is>
      </c>
      <c r="T5" s="10" t="inlineStr"/>
      <c r="U5" s="10" t="inlineStr">
        <is>
          <t>6–12 months</t>
        </is>
      </c>
      <c r="V5" s="10" t="inlineStr">
        <is>
          <t>Table 3 FP0</t>
        </is>
      </c>
      <c r="W5" s="10" t="inlineStr"/>
    </row>
    <row r="6">
      <c r="A6" s="10" t="inlineStr">
        <is>
          <t>G03</t>
        </is>
      </c>
      <c r="B6" s="10" t="inlineStr">
        <is>
          <t>Receiver state is not used to interpret or control exposure.</t>
        </is>
      </c>
      <c r="C6" s="10" t="inlineStr">
        <is>
          <t>Explicit</t>
        </is>
      </c>
      <c r="D6" s="10" t="inlineStr">
        <is>
          <t>Fruit stiffness, damping, turgor and contact evolve during storage.</t>
        </is>
      </c>
      <c r="E6" s="10" t="inlineStr">
        <is>
          <t>Requires pretreatment sensing and hierarchical modelling.</t>
        </is>
      </c>
      <c r="F6" s="10" t="inlineStr">
        <is>
          <t>State-dependent transfer function H(f,x).</t>
        </is>
      </c>
      <c r="G6" s="10" t="inlineStr">
        <is>
          <t>Measure baseline mechanical state; map state×exposure interaction longitudinally.</t>
        </is>
      </c>
      <c r="H6" s="10" t="inlineStr">
        <is>
          <t>Mass, geometry, temperature, FRF, damping, maturity, response.</t>
        </is>
      </c>
      <c r="I6" s="10" t="inlineStr">
        <is>
          <t>State explains exposure heterogeneity and shifts operating window.</t>
        </is>
      </c>
      <c r="J6" s="10" t="inlineStr">
        <is>
          <t>No reproducible state dependence or poor transfer.</t>
        </is>
      </c>
      <c r="K6" s="10" t="inlineStr">
        <is>
          <t>Enables precision treatment and prevents over/undertreatment.</t>
        </is>
      </c>
      <c r="L6" s="10" t="n">
        <v>4</v>
      </c>
      <c r="M6" s="10" t="n">
        <v>4</v>
      </c>
      <c r="N6" s="10" t="n">
        <v>5</v>
      </c>
      <c r="O6" s="10" t="n">
        <v>5</v>
      </c>
      <c r="P6" s="10" t="n">
        <v>3</v>
      </c>
      <c r="Q6" s="10">
        <f>ROUND((L6*0.20+M6*0.20+N6*0.20+O6*0.25+(6-P6)*0.15)*20,1)</f>
        <v/>
      </c>
      <c r="R6" s="10" t="inlineStr">
        <is>
          <t>High</t>
        </is>
      </c>
      <c r="S6" s="10" t="inlineStr">
        <is>
          <t>Not started</t>
        </is>
      </c>
      <c r="T6" s="10" t="inlineStr"/>
      <c r="U6" s="10" t="inlineStr">
        <is>
          <t>12–24 months</t>
        </is>
      </c>
      <c r="V6" s="10" t="inlineStr">
        <is>
          <t>Section 3.3</t>
        </is>
      </c>
      <c r="W6" s="10" t="inlineStr"/>
    </row>
    <row r="7">
      <c r="A7" s="10" t="inlineStr">
        <is>
          <t>G04</t>
        </is>
      </c>
      <c r="B7" s="10" t="inlineStr">
        <is>
          <t>Surface motion is not validated as internal tissue strain.</t>
        </is>
      </c>
      <c r="C7" s="10" t="inlineStr">
        <is>
          <t>Explicit</t>
        </is>
      </c>
      <c r="D7" s="10" t="inlineStr">
        <is>
          <t>Vibrometry measures surface velocity; mechanotransduction requires local deformation.</t>
        </is>
      </c>
      <c r="E7" s="10" t="inlineStr">
        <is>
          <t>Inverse problem requires material properties, boundary conditions and calibration.</t>
        </is>
      </c>
      <c r="F7" s="10" t="inlineStr">
        <is>
          <t>Surface-to-tissue reconstruction with uncertainty.</t>
        </is>
      </c>
      <c r="G7" s="10" t="inlineStr">
        <is>
          <t>Combine LDV, imaging/tomography and destructive calibration subset with finite-element model.</t>
        </is>
      </c>
      <c r="H7" s="10" t="inlineStr">
        <is>
          <t>Surface field, internal displacement/strain, material parameters, model error.</t>
        </is>
      </c>
      <c r="I7" s="10" t="inlineStr">
        <is>
          <t>Validated strain proxy predicts biology better than surface motion alone.</t>
        </is>
      </c>
      <c r="J7" s="10" t="inlineStr">
        <is>
          <t>Model error remains too high or non-identifiable.</t>
        </is>
      </c>
      <c r="K7" s="10" t="inlineStr">
        <is>
          <t>Makes mechanotransduction claims testable.</t>
        </is>
      </c>
      <c r="L7" s="10" t="n">
        <v>3</v>
      </c>
      <c r="M7" s="10" t="n">
        <v>5</v>
      </c>
      <c r="N7" s="10" t="n">
        <v>5</v>
      </c>
      <c r="O7" s="10" t="n">
        <v>4</v>
      </c>
      <c r="P7" s="10" t="n">
        <v>4</v>
      </c>
      <c r="Q7" s="10">
        <f>ROUND((L7*0.20+M7*0.20+N7*0.20+O7*0.25+(6-P7)*0.15)*20,1)</f>
        <v/>
      </c>
      <c r="R7" s="10" t="inlineStr">
        <is>
          <t>High</t>
        </is>
      </c>
      <c r="S7" s="10" t="inlineStr">
        <is>
          <t>Not started</t>
        </is>
      </c>
      <c r="T7" s="10" t="inlineStr"/>
      <c r="U7" s="10" t="inlineStr">
        <is>
          <t>18–36 months</t>
        </is>
      </c>
      <c r="V7" s="10" t="inlineStr">
        <is>
          <t>Section 3.3</t>
        </is>
      </c>
      <c r="W7" s="10" t="inlineStr"/>
    </row>
    <row r="8">
      <c r="A8" s="10" t="inlineStr">
        <is>
          <t>G05</t>
        </is>
      </c>
      <c r="B8" s="10" t="inlineStr">
        <is>
          <t>No validated receiver-equivalence criterion transfers treatment across devices.</t>
        </is>
      </c>
      <c r="C8" s="10" t="inlineStr">
        <is>
          <t>Inferred</t>
        </is>
      </c>
      <c r="D8" s="10" t="inlineStr">
        <is>
          <t>Different systems may use different settings yet produce similar exposure.</t>
        </is>
      </c>
      <c r="E8" s="10" t="inlineStr">
        <is>
          <t>Requires equivalence margins and external validation rather than optimization alone.</t>
        </is>
      </c>
      <c r="F8" s="10" t="inlineStr">
        <is>
          <t>Distance between exposure distributions and shelf trajectories.</t>
        </is>
      </c>
      <c r="G8" s="10" t="inlineStr">
        <is>
          <t>Develop in Chamber A; retune Chamber B; lock estimator; test new batch/lab.</t>
        </is>
      </c>
      <c r="H8" s="10" t="inlineStr">
        <is>
          <t>Exposure distribution, uncertainty, trajectory distance, calibration.</t>
        </is>
      </c>
      <c r="I8" s="10" t="inlineStr">
        <is>
          <t>Matched exposure yields equivalent shelf trajectory.</t>
        </is>
      </c>
      <c r="J8" s="10" t="inlineStr">
        <is>
          <t>Quality diverges despite matched measured exposure.</t>
        </is>
      </c>
      <c r="K8" s="10" t="inlineStr">
        <is>
          <t>Defines device-independent process identity.</t>
        </is>
      </c>
      <c r="L8" s="10" t="n">
        <v>3</v>
      </c>
      <c r="M8" s="10" t="n">
        <v>5</v>
      </c>
      <c r="N8" s="10" t="n">
        <v>5</v>
      </c>
      <c r="O8" s="10" t="n">
        <v>5</v>
      </c>
      <c r="P8" s="10" t="n">
        <v>4</v>
      </c>
      <c r="Q8" s="10">
        <f>ROUND((L8*0.20+M8*0.20+N8*0.20+O8*0.25+(6-P8)*0.15)*20,1)</f>
        <v/>
      </c>
      <c r="R8" s="10" t="inlineStr">
        <is>
          <t>Critical</t>
        </is>
      </c>
      <c r="S8" s="10" t="inlineStr">
        <is>
          <t>Not started</t>
        </is>
      </c>
      <c r="T8" s="10" t="inlineStr"/>
      <c r="U8" s="10" t="inlineStr">
        <is>
          <t>24–36 months</t>
        </is>
      </c>
      <c r="V8" s="10" t="inlineStr">
        <is>
          <t>Figure 4 / Section 6.3</t>
        </is>
      </c>
      <c r="W8" s="10" t="inlineStr"/>
    </row>
    <row r="9">
      <c r="A9" s="10" t="inlineStr">
        <is>
          <t>G06</t>
        </is>
      </c>
      <c r="B9" s="10" t="inlineStr">
        <is>
          <t>Shelf claims rely on isolated endpoints instead of complete trajectories.</t>
        </is>
      </c>
      <c r="C9" s="10" t="inlineStr">
        <is>
          <t>Explicit</t>
        </is>
      </c>
      <c r="D9" s="10" t="inlineStr">
        <is>
          <t>Firmness, gases and metabolites depend on timing and physiological state.</t>
        </is>
      </c>
      <c r="E9" s="10" t="inlineStr">
        <is>
          <t>Longitudinal studies are resource intensive and require correct units.</t>
        </is>
      </c>
      <c r="F9" s="10" t="inlineStr">
        <is>
          <t>Trajectory alignment at equal time and equal physiological state.</t>
        </is>
      </c>
      <c r="G9" s="10" t="inlineStr">
        <is>
          <t>Track onset, peak, area, texture, colour, gases, mass loss, damage and sensory endpoints.</t>
        </is>
      </c>
      <c r="H9" s="10" t="inlineStr">
        <is>
          <t>Repeated measures and hierarchical trajectory model.</t>
        </is>
      </c>
      <c r="I9" s="10" t="inlineStr">
        <is>
          <t>Clarifies whether treatment delays, suppresses or redistributes response.</t>
        </is>
      </c>
      <c r="J9" s="10" t="inlineStr">
        <is>
          <t>Single endpoint remains inconsistent with trajectory.</t>
        </is>
      </c>
      <c r="K9" s="10" t="inlineStr">
        <is>
          <t>Converts laboratory outcomes into shelf decisions.</t>
        </is>
      </c>
      <c r="L9" s="10" t="n">
        <v>4</v>
      </c>
      <c r="M9" s="10" t="n">
        <v>4</v>
      </c>
      <c r="N9" s="10" t="n">
        <v>5</v>
      </c>
      <c r="O9" s="10" t="n">
        <v>5</v>
      </c>
      <c r="P9" s="10" t="n">
        <v>3</v>
      </c>
      <c r="Q9" s="10">
        <f>ROUND((L9*0.20+M9*0.20+N9*0.20+O9*0.25+(6-P9)*0.15)*20,1)</f>
        <v/>
      </c>
      <c r="R9" s="10" t="inlineStr">
        <is>
          <t>High</t>
        </is>
      </c>
      <c r="S9" s="10" t="inlineStr">
        <is>
          <t>In progress</t>
        </is>
      </c>
      <c r="T9" s="10" t="inlineStr"/>
      <c r="U9" s="10" t="inlineStr">
        <is>
          <t>12–24 months</t>
        </is>
      </c>
      <c r="V9" s="10" t="inlineStr">
        <is>
          <t>Section 7.1</t>
        </is>
      </c>
      <c r="W9" s="10" t="inlineStr"/>
    </row>
    <row r="10">
      <c r="A10" s="10" t="inlineStr">
        <is>
          <t>G07</t>
        </is>
      </c>
      <c r="B10" s="10" t="inlineStr">
        <is>
          <t>Experimental units and replication are often mismatched to exposure and outcome.</t>
        </is>
      </c>
      <c r="C10" s="10" t="inlineStr">
        <is>
          <t>Explicit</t>
        </is>
      </c>
      <c r="D10" s="10" t="inlineStr">
        <is>
          <t>Fruit, vessel and chamber can be different units.</t>
        </is>
      </c>
      <c r="E10" s="10" t="inlineStr">
        <is>
          <t>Many assays create technical replicates that look like biological replication.</t>
        </is>
      </c>
      <c r="F10" s="10" t="inlineStr">
        <is>
          <t>Correct hierarchical unitization.</t>
        </is>
      </c>
      <c r="G10" s="10" t="inlineStr">
        <is>
          <t>Design chamber/run, vessel and fruit replication with randomization across batch and position.</t>
        </is>
      </c>
      <c r="H10" s="10" t="inlineStr">
        <is>
          <t>Variance components, ICC, run/batch effects.</t>
        </is>
      </c>
      <c r="I10" s="10" t="inlineStr">
        <is>
          <t>Valid uncertainty and reproducible inference.</t>
        </is>
      </c>
      <c r="J10" s="10" t="inlineStr">
        <is>
          <t>Pseudoreplication dominates the result.</t>
        </is>
      </c>
      <c r="K10" s="10" t="inlineStr">
        <is>
          <t>Improves reliability across the field.</t>
        </is>
      </c>
      <c r="L10" s="10" t="n">
        <v>5</v>
      </c>
      <c r="M10" s="10" t="n">
        <v>4</v>
      </c>
      <c r="N10" s="10" t="n">
        <v>5</v>
      </c>
      <c r="O10" s="10" t="n">
        <v>4</v>
      </c>
      <c r="P10" s="10" t="n">
        <v>2</v>
      </c>
      <c r="Q10" s="10">
        <f>ROUND((L10*0.20+M10*0.20+N10*0.20+O10*0.25+(6-P10)*0.15)*20,1)</f>
        <v/>
      </c>
      <c r="R10" s="10" t="inlineStr">
        <is>
          <t>Critical</t>
        </is>
      </c>
      <c r="S10" s="10" t="inlineStr">
        <is>
          <t>Not started</t>
        </is>
      </c>
      <c r="T10" s="10" t="inlineStr"/>
      <c r="U10" s="10" t="inlineStr">
        <is>
          <t>6–12 months</t>
        </is>
      </c>
      <c r="V10" s="10" t="inlineStr">
        <is>
          <t>Section 3.4 / S5</t>
        </is>
      </c>
      <c r="W10" s="10" t="inlineStr"/>
    </row>
    <row r="11">
      <c r="A11" s="10" t="inlineStr">
        <is>
          <t>G08</t>
        </is>
      </c>
      <c r="B11" s="10" t="inlineStr">
        <is>
          <t>Every fruit cannot be instrumented in a dense chamber.</t>
        </is>
      </c>
      <c r="C11" s="10" t="inlineStr">
        <is>
          <t>Explicit</t>
        </is>
      </c>
      <c r="D11" s="10" t="inlineStr">
        <is>
          <t>Occlusion, contact and throughput prevent per-fruit measurement.</t>
        </is>
      </c>
      <c r="E11" s="10" t="inlineStr">
        <is>
          <t>Practical sensing architecture remains undeveloped.</t>
        </is>
      </c>
      <c r="F11" s="10" t="inlineStr">
        <is>
          <t>Sentinel fruit + batch-state distribution.</t>
        </is>
      </c>
      <c r="G11" s="10" t="inlineStr">
        <is>
          <t>Validate sentinel placement and estimator across loads, positions and batches.</t>
        </is>
      </c>
      <c r="H11" s="10" t="inlineStr">
        <is>
          <t>Sentinel response, batch state, prediction intervals, out-of-domain detection.</t>
        </is>
      </c>
      <c r="I11" s="10" t="inlineStr">
        <is>
          <t>Small sensor set predicts exposure distribution with calibrated uncertainty.</t>
        </is>
      </c>
      <c r="J11" s="10" t="inlineStr">
        <is>
          <t>Sentinels fail under load changes.</t>
        </is>
      </c>
      <c r="K11" s="10" t="inlineStr">
        <is>
          <t>Enables practical commissioning and control.</t>
        </is>
      </c>
      <c r="L11" s="10" t="n">
        <v>4</v>
      </c>
      <c r="M11" s="10" t="n">
        <v>5</v>
      </c>
      <c r="N11" s="10" t="n">
        <v>5</v>
      </c>
      <c r="O11" s="10" t="n">
        <v>5</v>
      </c>
      <c r="P11" s="10" t="n">
        <v>3</v>
      </c>
      <c r="Q11" s="10">
        <f>ROUND((L11*0.20+M11*0.20+N11*0.20+O11*0.25+(6-P11)*0.15)*20,1)</f>
        <v/>
      </c>
      <c r="R11" s="10" t="inlineStr">
        <is>
          <t>High</t>
        </is>
      </c>
      <c r="S11" s="10" t="inlineStr">
        <is>
          <t>Not started</t>
        </is>
      </c>
      <c r="T11" s="10" t="inlineStr"/>
      <c r="U11" s="10" t="inlineStr">
        <is>
          <t>12–24 months</t>
        </is>
      </c>
      <c r="V11" s="10" t="inlineStr">
        <is>
          <t>Section 3.4 / Figure S2</t>
        </is>
      </c>
      <c r="W11" s="10" t="inlineStr"/>
    </row>
    <row r="12">
      <c r="A12" s="10" t="inlineStr">
        <is>
          <t>G09</t>
        </is>
      </c>
      <c r="B12" s="10" t="inlineStr">
        <is>
          <t>Benefit and harm are not mapped in one state-specific operating window.</t>
        </is>
      </c>
      <c r="C12" s="10" t="inlineStr">
        <is>
          <t>Explicit</t>
        </is>
      </c>
      <c r="D12" s="10" t="inlineStr">
        <is>
          <t>Very low exposure may do nothing; higher exposure may cause stress or damage.</t>
        </is>
      </c>
      <c r="E12" s="10" t="inlineStr">
        <is>
          <t>Positive-result bias and lack of edge-of-failure experiments.</t>
        </is>
      </c>
      <c r="F12" s="10" t="inlineStr">
        <is>
          <t>State-specific no-effect, benefit and damage boundaries.</t>
        </is>
      </c>
      <c r="G12" s="10" t="inlineStr">
        <is>
          <t>Designed experiment spanning subthreshold to injury, including adverse outcomes.</t>
        </is>
      </c>
      <c r="H12" s="10" t="inlineStr">
        <is>
          <t>Exposure vector, quality, injury, temperature, noise, energy, throughput.</t>
        </is>
      </c>
      <c r="I12" s="10" t="inlineStr">
        <is>
          <t>Defines safe/useful region with uncertainty.</t>
        </is>
      </c>
      <c r="J12" s="10" t="inlineStr">
        <is>
          <t>No stable window or unacceptable process burden.</t>
        </is>
      </c>
      <c r="K12" s="10" t="inlineStr">
        <is>
          <t>Necessary for safety, regulation and industrial adoption.</t>
        </is>
      </c>
      <c r="L12" s="10" t="n">
        <v>3</v>
      </c>
      <c r="M12" s="10" t="n">
        <v>5</v>
      </c>
      <c r="N12" s="10" t="n">
        <v>5</v>
      </c>
      <c r="O12" s="10" t="n">
        <v>5</v>
      </c>
      <c r="P12" s="10" t="n">
        <v>4</v>
      </c>
      <c r="Q12" s="10">
        <f>ROUND((L12*0.20+M12*0.20+N12*0.20+O12*0.25+(6-P12)*0.15)*20,1)</f>
        <v/>
      </c>
      <c r="R12" s="10" t="inlineStr">
        <is>
          <t>High</t>
        </is>
      </c>
      <c r="S12" s="10" t="inlineStr">
        <is>
          <t>Not started</t>
        </is>
      </c>
      <c r="T12" s="10" t="inlineStr"/>
      <c r="U12" s="10" t="inlineStr">
        <is>
          <t>18–36 months</t>
        </is>
      </c>
      <c r="V12" s="10" t="inlineStr">
        <is>
          <t>Section 6.2 / 7.2</t>
        </is>
      </c>
      <c r="W12" s="10" t="inlineStr"/>
    </row>
    <row r="13">
      <c r="A13" s="10" t="inlineStr">
        <is>
          <t>G10</t>
        </is>
      </c>
      <c r="B13" s="10" t="inlineStr">
        <is>
          <t>No interoperable reporting/data standard links acoustic exposure to shelf response.</t>
        </is>
      </c>
      <c r="C13" s="10" t="inlineStr">
        <is>
          <t>Inferred</t>
        </is>
      </c>
      <c r="D13" s="10" t="inlineStr">
        <is>
          <t>Current studies cannot reconstruct treatment across laboratories.</t>
        </is>
      </c>
      <c r="E13" s="10" t="inlineStr">
        <is>
          <t>Variables differ by acoustic family and raw streams are large.</t>
        </is>
      </c>
      <c r="F13" s="10" t="inlineStr">
        <is>
          <t>Exposure Passport with family-specific modules.</t>
        </is>
      </c>
      <c r="G13" s="10" t="inlineStr">
        <is>
          <t>External lab attempts reconstruction from Passport and archived data.</t>
        </is>
      </c>
      <c r="H13" s="10" t="inlineStr">
        <is>
          <t>Completeness, reconstruction error, metadata quality, reproducibility.</t>
        </is>
      </c>
      <c r="I13" s="10" t="inlineStr">
        <is>
          <t>Independent lab reproduces exposure and analysis.</t>
        </is>
      </c>
      <c r="J13" s="10" t="inlineStr">
        <is>
          <t>Passport is too burdensome or insufficient.</t>
        </is>
      </c>
      <c r="K13" s="10" t="inlineStr">
        <is>
          <t>Creates a must-cite reporting reference and reusable data infrastructure.</t>
        </is>
      </c>
      <c r="L13" s="10" t="n">
        <v>4</v>
      </c>
      <c r="M13" s="10" t="n">
        <v>5</v>
      </c>
      <c r="N13" s="10" t="n">
        <v>5</v>
      </c>
      <c r="O13" s="10" t="n">
        <v>5</v>
      </c>
      <c r="P13" s="10" t="n">
        <v>3</v>
      </c>
      <c r="Q13" s="10">
        <f>ROUND((L13*0.20+M13*0.20+N13*0.20+O13*0.25+(6-P13)*0.15)*20,1)</f>
        <v/>
      </c>
      <c r="R13" s="10" t="inlineStr">
        <is>
          <t>High</t>
        </is>
      </c>
      <c r="S13" s="10" t="inlineStr">
        <is>
          <t>In progress</t>
        </is>
      </c>
      <c r="T13" s="10" t="inlineStr"/>
      <c r="U13" s="10" t="inlineStr">
        <is>
          <t>12–24 months</t>
        </is>
      </c>
      <c r="V13" s="10" t="inlineStr">
        <is>
          <t>Section 6.1 / S4</t>
        </is>
      </c>
      <c r="W13" s="10" t="inlineStr"/>
    </row>
  </sheetData>
  <mergeCells count="2">
    <mergeCell ref="A2:W2"/>
    <mergeCell ref="A1:W1"/>
  </mergeCells>
  <conditionalFormatting sqref="R4:R13">
    <cfRule type="expression" priority="1" dxfId="4">
      <formula>$R4="Critical"</formula>
    </cfRule>
    <cfRule type="expression" priority="2" dxfId="3">
      <formula>$R4="High"</formula>
    </cfRule>
    <cfRule type="expression" priority="3" dxfId="2">
      <formula>$R4="Medium"</formula>
    </cfRule>
    <cfRule type="expression" priority="4" dxfId="0">
      <formula>$R4="Low"</formula>
    </cfRule>
  </conditionalFormatting>
  <conditionalFormatting sqref="S4:S13">
    <cfRule type="expression" priority="5" dxfId="0">
      <formula>$S4="Complete"</formula>
    </cfRule>
    <cfRule type="expression" priority="6" dxfId="1">
      <formula>$S4="In progress"</formula>
    </cfRule>
    <cfRule type="expression" priority="7" dxfId="2">
      <formula>$S4="Needs verification"</formula>
    </cfRule>
    <cfRule type="expression" priority="8" dxfId="3">
      <formula>$S4="Needs revision"</formula>
    </cfRule>
    <cfRule type="expression" priority="9" dxfId="4">
      <formula>$S4="Not started"</formula>
    </cfRule>
    <cfRule type="expression" priority="10" dxfId="5">
      <formula>$S4="Not applicable"</formula>
    </cfRule>
  </conditionalFormatting>
  <conditionalFormatting sqref="Q4:Q13">
    <cfRule type="cellIs" priority="11" operator="lessThan" dxfId="4">
      <formula>2</formula>
    </cfRule>
    <cfRule type="cellIs" priority="12" operator="between" dxfId="2">
      <formula>2</formula>
      <formula>2.99</formula>
    </cfRule>
    <cfRule type="cellIs" priority="13" operator="between" dxfId="1">
      <formula>3</formula>
      <formula>3.49</formula>
    </cfRule>
    <cfRule type="cellIs" priority="14" operator="greaterThanOrEqual" dxfId="0">
      <formula>3.5</formula>
    </cfRule>
  </conditionalFormatting>
  <dataValidations count="7">
    <dataValidation sqref="L4:L13" showDropDown="0" showInputMessage="0" showErrorMessage="0" allowBlank="1" type="whole" operator="between">
      <formula1>0</formula1>
      <formula2>4</formula2>
    </dataValidation>
    <dataValidation sqref="M4:M13" showDropDown="0" showInputMessage="0" showErrorMessage="0" allowBlank="1" type="whole" operator="between">
      <formula1>0</formula1>
      <formula2>4</formula2>
    </dataValidation>
    <dataValidation sqref="N4:N13" showDropDown="0" showInputMessage="0" showErrorMessage="0" allowBlank="1" type="whole" operator="between">
      <formula1>0</formula1>
      <formula2>4</formula2>
    </dataValidation>
    <dataValidation sqref="O4:O13" showDropDown="0" showInputMessage="0" showErrorMessage="0" allowBlank="1" type="whole" operator="between">
      <formula1>0</formula1>
      <formula2>4</formula2>
    </dataValidation>
    <dataValidation sqref="P4:P13" showDropDown="0" showInputMessage="0" showErrorMessage="0" allowBlank="1" type="whole" operator="between">
      <formula1>0</formula1>
      <formula2>4</formula2>
    </dataValidation>
    <dataValidation sqref="R4:R13" showDropDown="0" showInputMessage="0" showErrorMessage="0" allowBlank="1" type="list">
      <formula1>=Lists!$C$2:$C$5</formula1>
    </dataValidation>
    <dataValidation sqref="S4:S13" showDropDown="0" showInputMessage="0" showErrorMessage="0" allowBlank="1" type="list">
      <formula1>=Lists!$A$2:$A$7</formula1>
    </dataValidation>
  </dataValidations>
  <pageMargins left="0.25" right="0.25" top="0.4" bottom="0.4" header="0.5" footer="0.5"/>
  <pageSetup orientation="landscape"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00B0F0"/>
    <outlinePr summaryBelow="1" summaryRight="1"/>
    <pageSetUpPr fitToPage="1"/>
  </sheetPr>
  <dimension ref="A1:S10"/>
  <sheetViews>
    <sheetView showGridLines="0" zoomScale="70" workbookViewId="0">
      <pane ySplit="3" topLeftCell="A4" activePane="bottomLeft" state="frozen"/>
      <selection pane="bottomLeft" activeCell="A1" sqref="A1"/>
    </sheetView>
  </sheetViews>
  <sheetFormatPr baseColWidth="8" defaultRowHeight="15"/>
  <cols>
    <col width="10" customWidth="1" min="1" max="1"/>
    <col width="45" customWidth="1" min="2" max="2"/>
    <col width="38" customWidth="1" min="3" max="3"/>
    <col width="42" customWidth="1" min="4" max="4"/>
    <col width="38" customWidth="1" min="5" max="5"/>
    <col width="34" customWidth="1" min="6" max="6"/>
    <col width="40" customWidth="1" min="7" max="7"/>
    <col width="18" customWidth="1" min="8" max="8"/>
    <col width="14" customWidth="1" min="9" max="9"/>
    <col width="14" customWidth="1" min="10" max="10"/>
    <col width="17" customWidth="1" min="11" max="11"/>
    <col width="17" customWidth="1" min="12" max="12"/>
    <col width="17" customWidth="1" min="13" max="13"/>
    <col width="18" customWidth="1" min="14" max="14"/>
    <col width="18" customWidth="1" min="15" max="15"/>
    <col width="12" customWidth="1" min="16" max="16"/>
    <col width="42" customWidth="1" min="17" max="17"/>
    <col width="15" customWidth="1" min="18" max="18"/>
    <col width="28" customWidth="1" min="19" max="19"/>
  </cols>
  <sheetData>
    <row r="1" ht="30" customHeight="1">
      <c r="A1" s="1" t="inlineStr">
        <is>
          <t>Figure and Graphical-Abstract Audit</t>
        </is>
      </c>
    </row>
    <row r="2" ht="28" customHeight="1">
      <c r="A2" s="2" t="inlineStr">
        <is>
          <t>Each visual must perform a unique scientific job, support a specific claim and remain readable at journal size.</t>
        </is>
      </c>
    </row>
    <row r="3">
      <c r="A3" s="9" t="inlineStr">
        <is>
          <t>Figure ID</t>
        </is>
      </c>
      <c r="B3" s="9" t="inlineStr">
        <is>
          <t>Declarative title</t>
        </is>
      </c>
      <c r="C3" s="9" t="inlineStr">
        <is>
          <t>Scientific job</t>
        </is>
      </c>
      <c r="D3" s="9" t="inlineStr">
        <is>
          <t>Unique field contribution</t>
        </is>
      </c>
      <c r="E3" s="9" t="inlineStr">
        <is>
          <t>One-line message</t>
        </is>
      </c>
      <c r="F3" s="9" t="inlineStr">
        <is>
          <t>Claims supported</t>
        </is>
      </c>
      <c r="G3" s="9" t="inlineStr">
        <is>
          <t>Source data / verification required</t>
        </is>
      </c>
      <c r="H3" s="9" t="inlineStr">
        <is>
          <t>Evidence versus hypothesis coding clear?</t>
        </is>
      </c>
      <c r="I3" s="9" t="inlineStr">
        <is>
          <t>No duplication?</t>
        </is>
      </c>
      <c r="J3" s="9" t="inlineStr">
        <is>
          <t>Technical accuracy</t>
        </is>
      </c>
      <c r="K3" s="9" t="inlineStr">
        <is>
          <t>Readability at journal width</t>
        </is>
      </c>
      <c r="L3" s="9" t="inlineStr">
        <is>
          <t>Reusable / citation utility</t>
        </is>
      </c>
      <c r="M3" s="9" t="inlineStr">
        <is>
          <t>Caption self-contained?</t>
        </is>
      </c>
      <c r="N3" s="9" t="inlineStr">
        <is>
          <t>Editable source available?</t>
        </is>
      </c>
      <c r="O3" s="9" t="inlineStr">
        <is>
          <t>Current status</t>
        </is>
      </c>
      <c r="P3" s="9" t="inlineStr">
        <is>
          <t>Priority</t>
        </is>
      </c>
      <c r="Q3" s="9" t="inlineStr">
        <is>
          <t>Required revision</t>
        </is>
      </c>
      <c r="R3" s="9" t="inlineStr">
        <is>
          <t>Owner</t>
        </is>
      </c>
      <c r="S3" s="9" t="inlineStr">
        <is>
          <t>Notes</t>
        </is>
      </c>
    </row>
    <row r="4">
      <c r="A4" s="10" t="inlineStr">
        <is>
          <t>GA</t>
        </is>
      </c>
      <c r="B4" s="10" t="inlineStr">
        <is>
          <t>Same sound setting, different treatments</t>
        </is>
      </c>
      <c r="C4" s="10" t="inlineStr">
        <is>
          <t>Communicate the whole paper in five seconds.</t>
        </is>
      </c>
      <c r="D4" s="10" t="inlineStr">
        <is>
          <t>Receiver exposure as the missing link from source to shelf.</t>
        </is>
      </c>
      <c r="E4" s="10" t="inlineStr">
        <is>
          <t>Measure what the fruit receives—not only what the machine emits.</t>
        </is>
      </c>
      <c r="F4" s="10" t="inlineStr">
        <is>
          <t>Core problem, 0/7 gap, Exposure Passport, Operating Window, transfer test.</t>
        </is>
      </c>
      <c r="G4" s="10" t="inlineStr">
        <is>
          <t>Verify 0/7 wording; keep only corpus-bounded callout.</t>
        </is>
      </c>
      <c r="H4" s="10" t="inlineStr">
        <is>
          <t>Partial</t>
        </is>
      </c>
      <c r="I4" s="10" t="inlineStr">
        <is>
          <t>Yes</t>
        </is>
      </c>
      <c r="J4" s="10" t="n">
        <v>3</v>
      </c>
      <c r="K4" s="10" t="n">
        <v>3</v>
      </c>
      <c r="L4" s="10" t="n">
        <v>4</v>
      </c>
      <c r="M4" s="10" t="inlineStr">
        <is>
          <t>Yes</t>
        </is>
      </c>
      <c r="N4" s="10" t="inlineStr">
        <is>
          <t>Yes</t>
        </is>
      </c>
      <c r="O4" s="10" t="inlineStr">
        <is>
          <t>Needs revision</t>
        </is>
      </c>
      <c r="P4" s="10" t="inlineStr">
        <is>
          <t>High</t>
        </is>
      </c>
      <c r="Q4" s="10" t="inlineStr">
        <is>
          <t>Reduce text; ensure the bottom message matches manuscript exactly.</t>
        </is>
      </c>
      <c r="R4" s="10" t="inlineStr"/>
      <c r="S4" s="10" t="inlineStr"/>
    </row>
    <row r="5">
      <c r="A5" s="10" t="inlineStr">
        <is>
          <t>Fig 1</t>
        </is>
      </c>
      <c r="B5" s="10" t="inlineStr">
        <is>
          <t>Frequency does not identify an acoustic food process</t>
        </is>
      </c>
      <c r="C5" s="10" t="inlineStr">
        <is>
          <t>Reclassify acoustic technologies by transfer path.</t>
        </is>
      </c>
      <c r="D5" s="10" t="inlineStr">
        <is>
          <t>Conceptual process-identity tuple and 25 kHz counterexample.</t>
        </is>
      </c>
      <c r="E5" s="10" t="inlineStr">
        <is>
          <t>One frequency label can hide multiple physical technologies.</t>
        </is>
      </c>
      <c r="F5" s="10" t="inlineStr">
        <is>
          <t>Contribution 1; Table 1.</t>
        </is>
      </c>
      <c r="G5" s="10" t="inlineStr">
        <is>
          <t>Verify typical ranges and all representative applications.</t>
        </is>
      </c>
      <c r="H5" s="10" t="inlineStr">
        <is>
          <t>Yes</t>
        </is>
      </c>
      <c r="I5" s="10" t="inlineStr">
        <is>
          <t>Yes</t>
        </is>
      </c>
      <c r="J5" s="10" t="n">
        <v>4</v>
      </c>
      <c r="K5" s="10" t="n">
        <v>3</v>
      </c>
      <c r="L5" s="10" t="n">
        <v>4</v>
      </c>
      <c r="M5" s="10" t="inlineStr">
        <is>
          <t>Yes</t>
        </is>
      </c>
      <c r="N5" s="10" t="inlineStr">
        <is>
          <t>Yes</t>
        </is>
      </c>
      <c r="O5" s="10" t="inlineStr">
        <is>
          <t>Complete</t>
        </is>
      </c>
      <c r="P5" s="10" t="inlineStr">
        <is>
          <t>High</t>
        </is>
      </c>
      <c r="Q5" s="10" t="inlineStr">
        <is>
          <t>Check minimum label size and grayscale accessibility.</t>
        </is>
      </c>
      <c r="R5" s="10" t="inlineStr"/>
      <c r="S5" s="10" t="inlineStr"/>
    </row>
    <row r="6">
      <c r="A6" s="10" t="inlineStr">
        <is>
          <t>Fig 2</t>
        </is>
      </c>
      <c r="B6" s="10" t="inlineStr">
        <is>
          <t>The fruit transforms a source setting into shelf performance</t>
        </is>
      </c>
      <c r="C6" s="10" t="inlineStr">
        <is>
          <t>Visualize the state-dependent source-to-shelf causal chain.</t>
        </is>
      </c>
      <c r="D6" s="10" t="inlineStr">
        <is>
          <t>Same source→different exposure; different source→matched exposure.</t>
        </is>
      </c>
      <c r="E6" s="10" t="inlineStr">
        <is>
          <t>The treatment changes when the receiver changes.</t>
        </is>
      </c>
      <c r="F6" s="10" t="inlineStr">
        <is>
          <t>Contribution 1 and central hypothesis.</t>
        </is>
      </c>
      <c r="G6" s="10" t="inlineStr">
        <is>
          <t>Ensure dashed vs solid arrows match evidence strength.</t>
        </is>
      </c>
      <c r="H6" s="10" t="inlineStr">
        <is>
          <t>Yes</t>
        </is>
      </c>
      <c r="I6" s="10" t="inlineStr">
        <is>
          <t>Yes</t>
        </is>
      </c>
      <c r="J6" s="10" t="n">
        <v>4</v>
      </c>
      <c r="K6" s="10" t="n">
        <v>3</v>
      </c>
      <c r="L6" s="10" t="n">
        <v>5</v>
      </c>
      <c r="M6" s="10" t="inlineStr">
        <is>
          <t>Yes</t>
        </is>
      </c>
      <c r="N6" s="10" t="inlineStr">
        <is>
          <t>Yes</t>
        </is>
      </c>
      <c r="O6" s="10" t="inlineStr">
        <is>
          <t>Needs revision</t>
        </is>
      </c>
      <c r="P6" s="10" t="inlineStr">
        <is>
          <t>Critical</t>
        </is>
      </c>
      <c r="Q6" s="10" t="inlineStr">
        <is>
          <t>Make receiver exposure the visual centre; simplify secondary labels.</t>
        </is>
      </c>
      <c r="R6" s="10" t="inlineStr"/>
      <c r="S6" s="10" t="inlineStr"/>
    </row>
    <row r="7">
      <c r="A7" s="10" t="inlineStr">
        <is>
          <t>Fig 3</t>
        </is>
      </c>
      <c r="B7" s="10" t="inlineStr">
        <is>
          <t>Current studies observe outcomes but do not close the causal bridge</t>
        </is>
      </c>
      <c r="C7" s="10" t="inlineStr">
        <is>
          <t>Make causal closure and contradictions auditable.</t>
        </is>
      </c>
      <c r="D7" s="10" t="inlineStr">
        <is>
          <t>Reusable causal-closure ladder plus evidence heatmap.</t>
        </is>
      </c>
      <c r="E7" s="10" t="inlineStr">
        <is>
          <t>Outcome evidence is not exposure evidence.</t>
        </is>
      </c>
      <c r="F7" s="10" t="inlineStr">
        <is>
          <t>Contribution 2; 0/7 findings; contradiction matrix.</t>
        </is>
      </c>
      <c r="G7" s="10" t="inlineStr">
        <is>
          <t>Second-reviewer audit and source-page log.</t>
        </is>
      </c>
      <c r="H7" s="10" t="inlineStr">
        <is>
          <t>Yes</t>
        </is>
      </c>
      <c r="I7" s="10" t="inlineStr">
        <is>
          <t>Yes</t>
        </is>
      </c>
      <c r="J7" s="10" t="n">
        <v>3</v>
      </c>
      <c r="K7" s="10" t="n">
        <v>3</v>
      </c>
      <c r="L7" s="10" t="n">
        <v>5</v>
      </c>
      <c r="M7" s="10" t="inlineStr">
        <is>
          <t>Yes</t>
        </is>
      </c>
      <c r="N7" s="10" t="inlineStr">
        <is>
          <t>Yes</t>
        </is>
      </c>
      <c r="O7" s="10" t="inlineStr">
        <is>
          <t>Needs verification</t>
        </is>
      </c>
      <c r="P7" s="10" t="inlineStr">
        <is>
          <t>Critical</t>
        </is>
      </c>
      <c r="Q7" s="10" t="inlineStr">
        <is>
          <t>Do not finalize until evidence coding is independently checked.</t>
        </is>
      </c>
      <c r="R7" s="10" t="inlineStr"/>
      <c r="S7" s="10" t="inlineStr"/>
    </row>
    <row r="8">
      <c r="A8" s="10" t="inlineStr">
        <is>
          <t>Fig 4</t>
        </is>
      </c>
      <c r="B8" s="10" t="inlineStr">
        <is>
          <t>Receiver-centred design converts an acoustic recipe into a transferable process</t>
        </is>
      </c>
      <c r="C8" s="10" t="inlineStr">
        <is>
          <t>Integrate reporting, operating window and external transfer.</t>
        </is>
      </c>
      <c r="D8" s="10" t="inlineStr">
        <is>
          <t>Links reconstructability, safe region and device-independent equivalence.</t>
        </is>
      </c>
      <c r="E8" s="10" t="inlineStr">
        <is>
          <t>Transfer the exposure and response—not the machine recipe.</t>
        </is>
      </c>
      <c r="F8" s="10" t="inlineStr">
        <is>
          <t>Contribution 3; decisive test.</t>
        </is>
      </c>
      <c r="G8" s="10" t="inlineStr">
        <is>
          <t>Equivalence notation, no invented margins, state-specific window.</t>
        </is>
      </c>
      <c r="H8" s="10" t="inlineStr">
        <is>
          <t>Yes</t>
        </is>
      </c>
      <c r="I8" s="10" t="inlineStr">
        <is>
          <t>Yes</t>
        </is>
      </c>
      <c r="J8" s="10" t="n">
        <v>3</v>
      </c>
      <c r="K8" s="10" t="n">
        <v>3</v>
      </c>
      <c r="L8" s="10" t="n">
        <v>5</v>
      </c>
      <c r="M8" s="10" t="inlineStr">
        <is>
          <t>Yes</t>
        </is>
      </c>
      <c r="N8" s="10" t="inlineStr">
        <is>
          <t>Yes</t>
        </is>
      </c>
      <c r="O8" s="10" t="inlineStr">
        <is>
          <t>Needs revision</t>
        </is>
      </c>
      <c r="P8" s="10" t="inlineStr">
        <is>
          <t>Critical</t>
        </is>
      </c>
      <c r="Q8" s="10" t="inlineStr">
        <is>
          <t>Use “proposed” and retain treat–retune–abstain logic.</t>
        </is>
      </c>
      <c r="R8" s="10" t="inlineStr"/>
      <c r="S8" s="10" t="inlineStr"/>
    </row>
    <row r="9">
      <c r="A9" s="10" t="inlineStr">
        <is>
          <t>Fig S1</t>
        </is>
      </c>
      <c r="B9" s="10" t="inlineStr">
        <is>
          <t>Question-led evidence synthesis and review boundary</t>
        </is>
      </c>
      <c r="C9" s="10" t="inlineStr">
        <is>
          <t>Document search, selection and evidence boundaries.</t>
        </is>
      </c>
      <c r="D9" s="10" t="inlineStr">
        <is>
          <t>Causal-chain critical-review workflow.</t>
        </is>
      </c>
      <c r="E9" s="10" t="inlineStr">
        <is>
          <t>Absence claims apply only to the retained corpus.</t>
        </is>
      </c>
      <c r="F9" s="10" t="inlineStr">
        <is>
          <t>Method reproducibility.</t>
        </is>
      </c>
      <c r="G9" s="10" t="inlineStr">
        <is>
          <t>Actual databases, dates, counts and exclusions.</t>
        </is>
      </c>
      <c r="H9" s="10" t="inlineStr">
        <is>
          <t>Yes</t>
        </is>
      </c>
      <c r="I9" s="10" t="inlineStr">
        <is>
          <t>Yes</t>
        </is>
      </c>
      <c r="J9" s="10" t="n">
        <v>3</v>
      </c>
      <c r="K9" s="10" t="n">
        <v>3</v>
      </c>
      <c r="L9" s="10" t="n">
        <v>4</v>
      </c>
      <c r="M9" s="10" t="inlineStr">
        <is>
          <t>Yes</t>
        </is>
      </c>
      <c r="N9" s="10" t="inlineStr">
        <is>
          <t>Yes</t>
        </is>
      </c>
      <c r="O9" s="10" t="inlineStr">
        <is>
          <t>Needs verification</t>
        </is>
      </c>
      <c r="P9" s="10" t="inlineStr">
        <is>
          <t>Critical</t>
        </is>
      </c>
      <c r="Q9" s="10" t="inlineStr">
        <is>
          <t>Populate only from final search log.</t>
        </is>
      </c>
      <c r="R9" s="10" t="inlineStr"/>
      <c r="S9" s="10" t="inlineStr"/>
    </row>
    <row r="10">
      <c r="A10" s="10" t="inlineStr">
        <is>
          <t>Fig S2</t>
        </is>
      </c>
      <c r="B10" s="10" t="inlineStr">
        <is>
          <t>Instrumentation and control architecture for closing the source-to-shelf chain</t>
        </is>
      </c>
      <c r="C10" s="10" t="inlineStr">
        <is>
          <t>Give laboratories an implementation blueprint.</t>
        </is>
      </c>
      <c r="D10" s="10" t="inlineStr">
        <is>
          <t>Loaded mapping + route isolation + sentinels + external validation.</t>
        </is>
      </c>
      <c r="E10" s="10" t="inlineStr">
        <is>
          <t>Measure the loaded system and separate rival pathways.</t>
        </is>
      </c>
      <c r="F10" s="10" t="inlineStr">
        <is>
          <t>Decisive experiments / industrial design.</t>
        </is>
      </c>
      <c r="G10" s="10" t="inlineStr">
        <is>
          <t>Instrument placement, calibration, uncertainty and unitization.</t>
        </is>
      </c>
      <c r="H10" s="10" t="inlineStr">
        <is>
          <t>Yes</t>
        </is>
      </c>
      <c r="I10" s="10" t="inlineStr">
        <is>
          <t>Yes</t>
        </is>
      </c>
      <c r="J10" s="10" t="n">
        <v>3</v>
      </c>
      <c r="K10" s="10" t="n">
        <v>3</v>
      </c>
      <c r="L10" s="10" t="n">
        <v>5</v>
      </c>
      <c r="M10" s="10" t="inlineStr">
        <is>
          <t>Yes</t>
        </is>
      </c>
      <c r="N10" s="10" t="inlineStr">
        <is>
          <t>Yes</t>
        </is>
      </c>
      <c r="O10" s="10" t="inlineStr">
        <is>
          <t>Needs revision</t>
        </is>
      </c>
      <c r="P10" s="10" t="inlineStr">
        <is>
          <t>High</t>
        </is>
      </c>
      <c r="Q10" s="10" t="inlineStr">
        <is>
          <t>Ensure controls look factorial and unvalidated closed loop remains dashed.</t>
        </is>
      </c>
      <c r="R10" s="10" t="inlineStr"/>
      <c r="S10" s="10" t="inlineStr"/>
    </row>
  </sheetData>
  <mergeCells count="2">
    <mergeCell ref="A2:S2"/>
    <mergeCell ref="A1:S1"/>
  </mergeCells>
  <conditionalFormatting sqref="O4:O10">
    <cfRule type="expression" priority="1" dxfId="0">
      <formula>$O4="Complete"</formula>
    </cfRule>
    <cfRule type="expression" priority="2" dxfId="1">
      <formula>$O4="In progress"</formula>
    </cfRule>
    <cfRule type="expression" priority="3" dxfId="2">
      <formula>$O4="Needs verification"</formula>
    </cfRule>
    <cfRule type="expression" priority="4" dxfId="3">
      <formula>$O4="Needs revision"</formula>
    </cfRule>
    <cfRule type="expression" priority="5" dxfId="4">
      <formula>$O4="Not started"</formula>
    </cfRule>
    <cfRule type="expression" priority="6" dxfId="5">
      <formula>$O4="Not applicable"</formula>
    </cfRule>
  </conditionalFormatting>
  <conditionalFormatting sqref="P4:P10">
    <cfRule type="expression" priority="7" dxfId="4">
      <formula>$P4="Critical"</formula>
    </cfRule>
    <cfRule type="expression" priority="8" dxfId="3">
      <formula>$P4="High"</formula>
    </cfRule>
    <cfRule type="expression" priority="9" dxfId="2">
      <formula>$P4="Medium"</formula>
    </cfRule>
    <cfRule type="expression" priority="10" dxfId="0">
      <formula>$P4="Low"</formula>
    </cfRule>
  </conditionalFormatting>
  <conditionalFormatting sqref="J4:L10">
    <cfRule type="cellIs" priority="11" operator="lessThan" dxfId="4">
      <formula>2</formula>
    </cfRule>
    <cfRule type="cellIs" priority="12" operator="between" dxfId="2">
      <formula>2</formula>
      <formula>2.99</formula>
    </cfRule>
    <cfRule type="cellIs" priority="13" operator="between" dxfId="1">
      <formula>3</formula>
      <formula>3.49</formula>
    </cfRule>
    <cfRule type="cellIs" priority="14" operator="greaterThanOrEqual" dxfId="0">
      <formula>3.5</formula>
    </cfRule>
  </conditionalFormatting>
  <dataValidations count="5">
    <dataValidation sqref="H4:I10" showDropDown="0" showInputMessage="0" showErrorMessage="0" allowBlank="1" type="list">
      <formula1>=Lists!$G$2:$G$5</formula1>
    </dataValidation>
    <dataValidation sqref="J4:L10" showDropDown="0" showInputMessage="0" showErrorMessage="0" allowBlank="1" type="whole" operator="between">
      <formula1>0</formula1>
      <formula2>4</formula2>
    </dataValidation>
    <dataValidation sqref="M4:N10" showDropDown="0" showInputMessage="0" showErrorMessage="0" allowBlank="1" type="list">
      <formula1>=Lists!$G$2:$G$5</formula1>
    </dataValidation>
    <dataValidation sqref="O4:O10" showDropDown="0" showInputMessage="0" showErrorMessage="0" allowBlank="1" type="list">
      <formula1>=Lists!$A$2:$A$7</formula1>
    </dataValidation>
    <dataValidation sqref="P4:P10" showDropDown="0" showInputMessage="0" showErrorMessage="0" allowBlank="1" type="list">
      <formula1>=Lists!$C$2:$C$5</formula1>
    </dataValidation>
  </dataValidations>
  <pageMargins left="0.25" right="0.25" top="0.4" bottom="0.4" header="0.5" footer="0.5"/>
  <pageSetup orientation="landscape"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2F75B5"/>
    <outlinePr summaryBelow="1" summaryRight="1"/>
    <pageSetUpPr fitToPage="1"/>
  </sheetPr>
  <dimension ref="A1:R11"/>
  <sheetViews>
    <sheetView showGridLines="0" zoomScale="70" workbookViewId="0">
      <pane ySplit="3" topLeftCell="A4" activePane="bottomLeft" state="frozen"/>
      <selection pane="bottomLeft" activeCell="A1" sqref="A1"/>
    </sheetView>
  </sheetViews>
  <sheetFormatPr baseColWidth="8" defaultRowHeight="15"/>
  <cols>
    <col width="11" customWidth="1" min="1" max="1"/>
    <col width="40" customWidth="1" min="2" max="2"/>
    <col width="40" customWidth="1" min="3" max="3"/>
    <col width="40" customWidth="1" min="4" max="4"/>
    <col width="44" customWidth="1" min="5" max="5"/>
    <col width="16" customWidth="1" min="6" max="6"/>
    <col width="18" customWidth="1" min="7" max="7"/>
    <col width="14" customWidth="1" min="8" max="8"/>
    <col width="16" customWidth="1" min="9" max="9"/>
    <col width="18" customWidth="1" min="10" max="10"/>
    <col width="12" customWidth="1" min="11" max="11"/>
    <col width="46" customWidth="1" min="12" max="12"/>
    <col width="15" customWidth="1" min="13" max="13"/>
    <col width="13" customWidth="1" min="14" max="14"/>
    <col width="15" customWidth="1" min="15" max="15"/>
    <col width="36" customWidth="1" min="16" max="16"/>
    <col width="28" customWidth="1" min="17" max="17"/>
    <col width="14" customWidth="1" min="18" max="18"/>
  </cols>
  <sheetData>
    <row r="1" ht="30" customHeight="1">
      <c r="A1" s="1" t="inlineStr">
        <is>
          <t>Main and Supplementary Table Audit</t>
        </is>
      </c>
    </row>
    <row r="2" ht="28" customHeight="1">
      <c r="A2" s="2" t="inlineStr">
        <is>
          <t>Tables should carry structured evidence or implementation detail that cannot be communicated more clearly in prose or figures.</t>
        </is>
      </c>
    </row>
    <row r="3">
      <c r="A3" s="9" t="inlineStr">
        <is>
          <t>Table ID</t>
        </is>
      </c>
      <c r="B3" s="9" t="inlineStr">
        <is>
          <t>Title / role</t>
        </is>
      </c>
      <c r="C3" s="9" t="inlineStr">
        <is>
          <t>Scientific job</t>
        </is>
      </c>
      <c r="D3" s="9" t="inlineStr">
        <is>
          <t>Unique contribution</t>
        </is>
      </c>
      <c r="E3" s="9" t="inlineStr">
        <is>
          <t>Required fields</t>
        </is>
      </c>
      <c r="F3" s="9" t="inlineStr">
        <is>
          <t>Current completeness</t>
        </is>
      </c>
      <c r="G3" s="9" t="inlineStr">
        <is>
          <t>Source verification</t>
        </is>
      </c>
      <c r="H3" s="9" t="inlineStr">
        <is>
          <t>No duplication?</t>
        </is>
      </c>
      <c r="I3" s="9" t="inlineStr">
        <is>
          <t>Readable / usable?</t>
        </is>
      </c>
      <c r="J3" s="9" t="inlineStr">
        <is>
          <t>Status</t>
        </is>
      </c>
      <c r="K3" s="9" t="inlineStr">
        <is>
          <t>Priority</t>
        </is>
      </c>
      <c r="L3" s="9" t="inlineStr">
        <is>
          <t>Missing data / action</t>
        </is>
      </c>
      <c r="M3" s="9" t="inlineStr">
        <is>
          <t>Owner</t>
        </is>
      </c>
      <c r="N3" s="9" t="inlineStr">
        <is>
          <t>Due date</t>
        </is>
      </c>
      <c r="O3" s="9" t="inlineStr">
        <is>
          <t>Main or supplement</t>
        </is>
      </c>
      <c r="P3" s="9" t="inlineStr">
        <is>
          <t>Source file</t>
        </is>
      </c>
      <c r="Q3" s="9" t="inlineStr">
        <is>
          <t>Notes</t>
        </is>
      </c>
      <c r="R3" s="9" t="inlineStr">
        <is>
          <t>Readiness score</t>
        </is>
      </c>
    </row>
    <row r="4">
      <c r="A4" s="10" t="inlineStr">
        <is>
          <t>Table 1</t>
        </is>
      </c>
      <c r="B4" s="10" t="inlineStr">
        <is>
          <t>Acoustic technology families and defining variables</t>
        </is>
      </c>
      <c r="C4" s="10" t="inlineStr">
        <is>
          <t>Classify by band, route, mechanism, receiver variable and shelf objective.</t>
        </is>
      </c>
      <c r="D4" s="10" t="inlineStr">
        <is>
          <t>Mechanism-based taxonomy beyond frequency.</t>
        </is>
      </c>
      <c r="E4" s="10" t="inlineStr">
        <is>
          <t>Six modalities; typical band; path; mechanism; receiver variable; objective; confounder.</t>
        </is>
      </c>
      <c r="F4" s="10" t="inlineStr">
        <is>
          <t>Strong</t>
        </is>
      </c>
      <c r="G4" s="10" t="inlineStr">
        <is>
          <t>Needs source check</t>
        </is>
      </c>
      <c r="H4" s="10" t="inlineStr">
        <is>
          <t>Yes</t>
        </is>
      </c>
      <c r="I4" s="10" t="inlineStr">
        <is>
          <t>Yes</t>
        </is>
      </c>
      <c r="J4" s="10" t="inlineStr">
        <is>
          <t>Needs verification</t>
        </is>
      </c>
      <c r="K4" s="10" t="inlineStr">
        <is>
          <t>High</t>
        </is>
      </c>
      <c r="L4" s="10" t="inlineStr">
        <is>
          <t>Verify ranges and maturity wording; avoid universal deployment judgements.</t>
        </is>
      </c>
      <c r="M4" s="10" t="inlineStr"/>
      <c r="N4" s="10" t="inlineStr"/>
      <c r="O4" s="10" t="inlineStr">
        <is>
          <t>Main</t>
        </is>
      </c>
      <c r="P4" s="10" t="inlineStr">
        <is>
          <t>From_Sound_to_Shelf_TIFS_Critical_Review_Rewritten.docx</t>
        </is>
      </c>
      <c r="Q4" s="10" t="inlineStr"/>
      <c r="R4" s="10" t="n">
        <v>3</v>
      </c>
    </row>
    <row r="5">
      <c r="A5" s="10" t="inlineStr">
        <is>
          <t>Table 2</t>
        </is>
      </c>
      <c r="B5" s="10" t="inlineStr">
        <is>
          <t>Critical comparison of seven airborne-fruit studies</t>
        </is>
      </c>
      <c r="C5" s="10" t="inlineStr">
        <is>
          <t>Compare questions, methods, physical measurements, outcomes, limits and contribution.</t>
        </is>
      </c>
      <c r="D5" s="10" t="inlineStr">
        <is>
          <t>Prevents narrative paper-by-paper summary.</t>
        </is>
      </c>
      <c r="E5" s="10" t="inlineStr">
        <is>
          <t>Full-text verified treatment, sample/unit, controls, measures, findings and limitations.</t>
        </is>
      </c>
      <c r="F5" s="10" t="inlineStr">
        <is>
          <t>Partial</t>
        </is>
      </c>
      <c r="G5" s="10" t="inlineStr">
        <is>
          <t>Incomplete</t>
        </is>
      </c>
      <c r="H5" s="10" t="inlineStr">
        <is>
          <t>Yes</t>
        </is>
      </c>
      <c r="I5" s="10" t="inlineStr">
        <is>
          <t>Yes</t>
        </is>
      </c>
      <c r="J5" s="10" t="inlineStr">
        <is>
          <t>Needs verification</t>
        </is>
      </c>
      <c r="K5" s="10" t="inlineStr">
        <is>
          <t>Critical</t>
        </is>
      </c>
      <c r="L5" s="10" t="inlineStr">
        <is>
          <t>Complete full-text extraction and sample/unit fields.</t>
        </is>
      </c>
      <c r="M5" s="10" t="inlineStr"/>
      <c r="N5" s="10" t="inlineStr"/>
      <c r="O5" s="10" t="inlineStr">
        <is>
          <t>Main</t>
        </is>
      </c>
      <c r="P5" s="10" t="inlineStr">
        <is>
          <t>From_Sound_to_Shelf_TIFS_Critical_Review_Rewritten.docx</t>
        </is>
      </c>
      <c r="Q5" s="10" t="inlineStr"/>
      <c r="R5" s="10" t="n">
        <v>2</v>
      </c>
    </row>
    <row r="6">
      <c r="A6" s="10" t="inlineStr">
        <is>
          <t>Table 3</t>
        </is>
      </c>
      <c r="B6" s="10" t="inlineStr">
        <is>
          <t>Contradictions, hidden variables and decisive tests</t>
        </is>
      </c>
      <c r="C6" s="10" t="inlineStr">
        <is>
          <t>Translate disagreement into falsifiable experiments.</t>
        </is>
      </c>
      <c r="D6" s="10" t="inlineStr">
        <is>
          <t>Reusable contradiction-to-decision framework.</t>
        </is>
      </c>
      <c r="E6" s="10" t="inlineStr">
        <is>
          <t>Contradiction; hidden variable; measurement; experiment; support result; failure result.</t>
        </is>
      </c>
      <c r="F6" s="10" t="inlineStr">
        <is>
          <t>Strong</t>
        </is>
      </c>
      <c r="G6" s="10" t="inlineStr">
        <is>
          <t>Needs claim audit</t>
        </is>
      </c>
      <c r="H6" s="10" t="inlineStr">
        <is>
          <t>Yes</t>
        </is>
      </c>
      <c r="I6" s="10" t="inlineStr">
        <is>
          <t>Yes</t>
        </is>
      </c>
      <c r="J6" s="10" t="inlineStr">
        <is>
          <t>Needs verification</t>
        </is>
      </c>
      <c r="K6" s="10" t="inlineStr">
        <is>
          <t>High</t>
        </is>
      </c>
      <c r="L6" s="10" t="inlineStr">
        <is>
          <t>Verify every contradiction against cited sources.</t>
        </is>
      </c>
      <c r="M6" s="10" t="inlineStr"/>
      <c r="N6" s="10" t="inlineStr"/>
      <c r="O6" s="10" t="inlineStr">
        <is>
          <t>Main</t>
        </is>
      </c>
      <c r="P6" s="10" t="inlineStr">
        <is>
          <t>From_Sound_to_Shelf_TIFS_Critical_Review_Rewritten.docx</t>
        </is>
      </c>
      <c r="Q6" s="10" t="inlineStr"/>
      <c r="R6" s="10" t="n">
        <v>3</v>
      </c>
    </row>
    <row r="7">
      <c r="A7" s="10" t="inlineStr">
        <is>
          <t>Table S1</t>
        </is>
      </c>
      <c r="B7" s="10" t="inlineStr">
        <is>
          <t>Search strategy, eligibility and documentation</t>
        </is>
      </c>
      <c r="C7" s="10" t="inlineStr">
        <is>
          <t>Make the review corpus reproducible.</t>
        </is>
      </c>
      <c r="D7" s="10" t="inlineStr">
        <is>
          <t>Search + boundary + exclusion record in one table.</t>
        </is>
      </c>
      <c r="E7" s="10" t="inlineStr">
        <is>
          <t>Databases; strings; dates; counts; exclusions; reviewer procedure.</t>
        </is>
      </c>
      <c r="F7" s="10" t="inlineStr">
        <is>
          <t>Incomplete</t>
        </is>
      </c>
      <c r="G7" s="10" t="inlineStr">
        <is>
          <t>Incomplete</t>
        </is>
      </c>
      <c r="H7" s="10" t="inlineStr">
        <is>
          <t>Yes</t>
        </is>
      </c>
      <c r="I7" s="10" t="inlineStr">
        <is>
          <t>Yes</t>
        </is>
      </c>
      <c r="J7" s="10" t="inlineStr">
        <is>
          <t>Not started</t>
        </is>
      </c>
      <c r="K7" s="10" t="inlineStr">
        <is>
          <t>Critical</t>
        </is>
      </c>
      <c r="L7" s="10" t="inlineStr">
        <is>
          <t>Populate from actual search and screening log.</t>
        </is>
      </c>
      <c r="M7" s="10" t="inlineStr"/>
      <c r="N7" s="10" t="inlineStr"/>
      <c r="O7" s="10" t="inlineStr">
        <is>
          <t>Supplement</t>
        </is>
      </c>
      <c r="P7" s="10" t="inlineStr">
        <is>
          <t>From_Sound_to_Shelf_TIFS_Supplementary_Material.docx</t>
        </is>
      </c>
      <c r="Q7" s="10" t="inlineStr"/>
      <c r="R7" s="10" t="n">
        <v>1</v>
      </c>
    </row>
    <row r="8">
      <c r="A8" s="10" t="inlineStr">
        <is>
          <t>Table S2</t>
        </is>
      </c>
      <c r="B8" s="10" t="inlineStr">
        <is>
          <t>Complete study-extraction matrix</t>
        </is>
      </c>
      <c r="C8" s="10" t="inlineStr">
        <is>
          <t>Archive full study details beyond main Table 2.</t>
        </is>
      </c>
      <c r="D8" s="10" t="inlineStr">
        <is>
          <t>Auditable extraction with “not reported” rather than inference.</t>
        </is>
      </c>
      <c r="E8" s="10" t="inlineStr">
        <is>
          <t>Sample/unit, geometry, settings, controls, measurements, findings, limitations.</t>
        </is>
      </c>
      <c r="F8" s="10" t="inlineStr">
        <is>
          <t>Partial</t>
        </is>
      </c>
      <c r="G8" s="10" t="inlineStr">
        <is>
          <t>Incomplete</t>
        </is>
      </c>
      <c r="H8" s="10" t="inlineStr">
        <is>
          <t>Yes</t>
        </is>
      </c>
      <c r="I8" s="10" t="inlineStr">
        <is>
          <t>Yes</t>
        </is>
      </c>
      <c r="J8" s="10" t="inlineStr">
        <is>
          <t>Needs verification</t>
        </is>
      </c>
      <c r="K8" s="10" t="inlineStr">
        <is>
          <t>Critical</t>
        </is>
      </c>
      <c r="L8" s="10" t="inlineStr">
        <is>
          <t>Verify source pages and complete sample/geometry fields.</t>
        </is>
      </c>
      <c r="M8" s="10" t="inlineStr"/>
      <c r="N8" s="10" t="inlineStr"/>
      <c r="O8" s="10" t="inlineStr">
        <is>
          <t>Supplement</t>
        </is>
      </c>
      <c r="P8" s="10" t="inlineStr">
        <is>
          <t>From_Sound_to_Shelf_TIFS_Supplementary_Material.docx</t>
        </is>
      </c>
      <c r="Q8" s="10" t="inlineStr"/>
      <c r="R8" s="10" t="n">
        <v>2</v>
      </c>
    </row>
    <row r="9">
      <c r="A9" s="10" t="inlineStr">
        <is>
          <t>Table S3</t>
        </is>
      </c>
      <c r="B9" s="10" t="inlineStr">
        <is>
          <t>Cell-level evidence-chain justification</t>
        </is>
      </c>
      <c r="C9" s="10" t="inlineStr">
        <is>
          <t>Make every A–D grade reproducible.</t>
        </is>
      </c>
      <c r="D9" s="10" t="inlineStr">
        <is>
          <t>Source-page evidence for each grade.</t>
        </is>
      </c>
      <c r="E9" s="10" t="inlineStr">
        <is>
          <t>Study, domain, grade, source location, rationale, second-reviewer decision.</t>
        </is>
      </c>
      <c r="F9" s="10" t="inlineStr">
        <is>
          <t>Partial</t>
        </is>
      </c>
      <c r="G9" s="10" t="inlineStr">
        <is>
          <t>Incomplete</t>
        </is>
      </c>
      <c r="H9" s="10" t="inlineStr">
        <is>
          <t>Yes</t>
        </is>
      </c>
      <c r="I9" s="10" t="inlineStr">
        <is>
          <t>Yes</t>
        </is>
      </c>
      <c r="J9" s="10" t="inlineStr">
        <is>
          <t>Needs verification</t>
        </is>
      </c>
      <c r="K9" s="10" t="inlineStr">
        <is>
          <t>Critical</t>
        </is>
      </c>
      <c r="L9" s="10" t="inlineStr">
        <is>
          <t>Add cell-by-cell source pages and agreement record.</t>
        </is>
      </c>
      <c r="M9" s="10" t="inlineStr"/>
      <c r="N9" s="10" t="inlineStr"/>
      <c r="O9" s="10" t="inlineStr">
        <is>
          <t>Supplement</t>
        </is>
      </c>
      <c r="P9" s="10" t="inlineStr">
        <is>
          <t>From_Sound_to_Shelf_TIFS_Supplementary_Material.docx</t>
        </is>
      </c>
      <c r="Q9" s="10" t="inlineStr"/>
      <c r="R9" s="10" t="n">
        <v>2</v>
      </c>
    </row>
    <row r="10">
      <c r="A10" s="10" t="inlineStr">
        <is>
          <t>Table S4</t>
        </is>
      </c>
      <c r="B10" s="10" t="inlineStr">
        <is>
          <t>Exposure Passport data dictionary</t>
        </is>
      </c>
      <c r="C10" s="10" t="inlineStr">
        <is>
          <t>Define fields, units, uncertainty and modality applicability.</t>
        </is>
      </c>
      <c r="D10" s="10" t="inlineStr">
        <is>
          <t>Potential reporting standard / reusable implementation tool.</t>
        </is>
      </c>
      <c r="E10" s="10" t="inlineStr">
        <is>
          <t>Minimum tier, mechanistic tier, units, calibration, applicability.</t>
        </is>
      </c>
      <c r="F10" s="10" t="inlineStr">
        <is>
          <t>Strong</t>
        </is>
      </c>
      <c r="G10" s="10" t="inlineStr">
        <is>
          <t>Needs pilot</t>
        </is>
      </c>
      <c r="H10" s="10" t="inlineStr">
        <is>
          <t>Yes</t>
        </is>
      </c>
      <c r="I10" s="10" t="inlineStr">
        <is>
          <t>Yes</t>
        </is>
      </c>
      <c r="J10" s="10" t="inlineStr">
        <is>
          <t>Needs revision</t>
        </is>
      </c>
      <c r="K10" s="10" t="inlineStr">
        <is>
          <t>High</t>
        </is>
      </c>
      <c r="L10" s="10" t="inlineStr">
        <is>
          <t>Label as proposed; test reconstruction burden with an external lab.</t>
        </is>
      </c>
      <c r="M10" s="10" t="inlineStr"/>
      <c r="N10" s="10" t="inlineStr"/>
      <c r="O10" s="10" t="inlineStr">
        <is>
          <t>Supplement</t>
        </is>
      </c>
      <c r="P10" s="10" t="inlineStr">
        <is>
          <t>From_Sound_to_Shelf_TIFS_Supplementary_Material.docx</t>
        </is>
      </c>
      <c r="Q10" s="10" t="inlineStr"/>
      <c r="R10" s="10" t="n">
        <v>3</v>
      </c>
    </row>
    <row r="11">
      <c r="A11" s="10" t="inlineStr">
        <is>
          <t>Table S5</t>
        </is>
      </c>
      <c r="B11" s="10" t="inlineStr">
        <is>
          <t>Decisive experiment and statistical validation plan</t>
        </is>
      </c>
      <c r="C11" s="10" t="inlineStr">
        <is>
          <t>Turn the framework into an implementable protocol.</t>
        </is>
      </c>
      <c r="D11" s="10" t="inlineStr">
        <is>
          <t>Links route controls, unitization, motion clamp, equivalence and external validation.</t>
        </is>
      </c>
      <c r="E11" s="10" t="inlineStr">
        <is>
          <t>Primary metric, units, sample-size basis, margin, model, pass/fail, data release.</t>
        </is>
      </c>
      <c r="F11" s="10" t="inlineStr">
        <is>
          <t>Partial</t>
        </is>
      </c>
      <c r="G11" s="10" t="inlineStr">
        <is>
          <t>Incomplete</t>
        </is>
      </c>
      <c r="H11" s="10" t="inlineStr">
        <is>
          <t>Yes</t>
        </is>
      </c>
      <c r="I11" s="10" t="inlineStr">
        <is>
          <t>Yes</t>
        </is>
      </c>
      <c r="J11" s="10" t="inlineStr">
        <is>
          <t>Needs verification</t>
        </is>
      </c>
      <c r="K11" s="10" t="inlineStr">
        <is>
          <t>Critical</t>
        </is>
      </c>
      <c r="L11" s="10" t="inlineStr">
        <is>
          <t>Add pilot-derived variance, sample size and equivalence margin.</t>
        </is>
      </c>
      <c r="M11" s="10" t="inlineStr"/>
      <c r="N11" s="10" t="inlineStr"/>
      <c r="O11" s="10" t="inlineStr">
        <is>
          <t>Supplement</t>
        </is>
      </c>
      <c r="P11" s="10" t="inlineStr">
        <is>
          <t>From_Sound_to_Shelf_TIFS_Supplementary_Material.docx</t>
        </is>
      </c>
      <c r="Q11" s="10" t="inlineStr"/>
      <c r="R11" s="10" t="n">
        <v>2</v>
      </c>
    </row>
  </sheetData>
  <mergeCells count="2">
    <mergeCell ref="A2:R2"/>
    <mergeCell ref="A1:R1"/>
  </mergeCells>
  <conditionalFormatting sqref="J4:J11">
    <cfRule type="expression" priority="1" dxfId="0">
      <formula>$J4="Complete"</formula>
    </cfRule>
    <cfRule type="expression" priority="2" dxfId="1">
      <formula>$J4="In progress"</formula>
    </cfRule>
    <cfRule type="expression" priority="3" dxfId="2">
      <formula>$J4="Needs verification"</formula>
    </cfRule>
    <cfRule type="expression" priority="4" dxfId="3">
      <formula>$J4="Needs revision"</formula>
    </cfRule>
    <cfRule type="expression" priority="5" dxfId="4">
      <formula>$J4="Not started"</formula>
    </cfRule>
    <cfRule type="expression" priority="6" dxfId="5">
      <formula>$J4="Not applicable"</formula>
    </cfRule>
  </conditionalFormatting>
  <conditionalFormatting sqref="K4:K11">
    <cfRule type="expression" priority="7" dxfId="4">
      <formula>$K4="Critical"</formula>
    </cfRule>
    <cfRule type="expression" priority="8" dxfId="3">
      <formula>$K4="High"</formula>
    </cfRule>
    <cfRule type="expression" priority="9" dxfId="2">
      <formula>$K4="Medium"</formula>
    </cfRule>
    <cfRule type="expression" priority="10" dxfId="0">
      <formula>$K4="Low"</formula>
    </cfRule>
  </conditionalFormatting>
  <conditionalFormatting sqref="R4:R11">
    <cfRule type="cellIs" priority="11" operator="lessThan" dxfId="4">
      <formula>2</formula>
    </cfRule>
    <cfRule type="cellIs" priority="12" operator="between" dxfId="2">
      <formula>2</formula>
      <formula>2.99</formula>
    </cfRule>
    <cfRule type="cellIs" priority="13" operator="between" dxfId="1">
      <formula>3</formula>
      <formula>3.49</formula>
    </cfRule>
    <cfRule type="cellIs" priority="14" operator="greaterThanOrEqual" dxfId="0">
      <formula>3.5</formula>
    </cfRule>
  </conditionalFormatting>
  <dataValidations count="4">
    <dataValidation sqref="H4:I11" showDropDown="0" showInputMessage="0" showErrorMessage="0" allowBlank="1" type="list">
      <formula1>=Lists!$G$2:$G$5</formula1>
    </dataValidation>
    <dataValidation sqref="J4:J11" showDropDown="0" showInputMessage="0" showErrorMessage="0" allowBlank="1" type="list">
      <formula1>=Lists!$A$2:$A$7</formula1>
    </dataValidation>
    <dataValidation sqref="K4:K11" showDropDown="0" showInputMessage="0" showErrorMessage="0" allowBlank="1" type="list">
      <formula1>=Lists!$C$2:$C$5</formula1>
    </dataValidation>
    <dataValidation sqref="R4:R11" showDropDown="0" showInputMessage="0" showErrorMessage="0" allowBlank="1" type="whole" operator="between">
      <formula1>0</formula1>
      <formula2>4</formula2>
    </dataValidation>
  </dataValidations>
  <pageMargins left="0.25" right="0.25" top="0.4" bottom="0.4" header="0.5" footer="0.5"/>
  <pageSetup orientation="landscape" fitToHeight="0" fitToWidth="1"/>
  <tableParts count="1">
    <tablePart xmlns:r="http://schemas.openxmlformats.org/officeDocument/2006/relationships" r:id="rId1"/>
  </tableParts>
</worksheet>
</file>

<file path=xl/worksheets/sheet12.xml><?xml version="1.0" encoding="utf-8"?>
<worksheet xmlns="http://schemas.openxmlformats.org/spreadsheetml/2006/main">
  <sheetPr>
    <tabColor rgb="009E480E"/>
    <outlinePr summaryBelow="1" summaryRight="1"/>
    <pageSetUpPr fitToPage="1"/>
  </sheetPr>
  <dimension ref="A1:P10"/>
  <sheetViews>
    <sheetView showGridLines="0" zoomScale="75" workbookViewId="0">
      <pane ySplit="3" topLeftCell="A4" activePane="bottomLeft" state="frozen"/>
      <selection pane="bottomLeft" activeCell="A1" sqref="A1"/>
    </sheetView>
  </sheetViews>
  <sheetFormatPr baseColWidth="8" defaultRowHeight="15"/>
  <cols>
    <col width="12" customWidth="1" min="1" max="1"/>
    <col width="38" customWidth="1" min="2" max="2"/>
    <col width="46" customWidth="1" min="3" max="3"/>
    <col width="28" customWidth="1" min="4" max="4"/>
    <col width="40" customWidth="1" min="5" max="5"/>
    <col width="18" customWidth="1" min="6" max="6"/>
    <col width="20" customWidth="1" min="7" max="7"/>
    <col width="34" customWidth="1" min="8" max="8"/>
    <col width="18" customWidth="1" min="9" max="9"/>
    <col width="12" customWidth="1" min="10" max="10"/>
    <col width="42" customWidth="1" min="11" max="11"/>
    <col width="15" customWidth="1" min="12" max="12"/>
    <col width="13" customWidth="1" min="13" max="13"/>
    <col width="36" customWidth="1" min="14" max="14"/>
    <col width="28" customWidth="1" min="15" max="15"/>
    <col width="14" customWidth="1" min="16" max="16"/>
  </cols>
  <sheetData>
    <row r="1" ht="30" customHeight="1">
      <c r="A1" s="1" t="inlineStr">
        <is>
          <t>Supplementary Material Audit</t>
        </is>
      </c>
    </row>
    <row r="2" ht="28" customHeight="1">
      <c r="A2" s="2" t="inlineStr">
        <is>
          <t>The supplement should prove that the review, evidence coding and decisive experiment are reproducible—without duplicating the main paper.</t>
        </is>
      </c>
    </row>
    <row r="3">
      <c r="A3" s="9" t="inlineStr">
        <is>
          <t>Item</t>
        </is>
      </c>
      <c r="B3" s="9" t="inlineStr">
        <is>
          <t>Purpose</t>
        </is>
      </c>
      <c r="C3" s="9" t="inlineStr">
        <is>
          <t>Must contain</t>
        </is>
      </c>
      <c r="D3" s="9" t="inlineStr">
        <is>
          <t>Current state</t>
        </is>
      </c>
      <c r="E3" s="9" t="inlineStr">
        <is>
          <t>Blocking fields</t>
        </is>
      </c>
      <c r="F3" s="9" t="inlineStr">
        <is>
          <t>Duplicates main paper?</t>
        </is>
      </c>
      <c r="G3" s="9" t="inlineStr">
        <is>
          <t>Author input required?</t>
        </is>
      </c>
      <c r="H3" s="9" t="inlineStr">
        <is>
          <t>Verification evidence</t>
        </is>
      </c>
      <c r="I3" s="9" t="inlineStr">
        <is>
          <t>Status</t>
        </is>
      </c>
      <c r="J3" s="9" t="inlineStr">
        <is>
          <t>Priority</t>
        </is>
      </c>
      <c r="K3" s="9" t="inlineStr">
        <is>
          <t>Action</t>
        </is>
      </c>
      <c r="L3" s="9" t="inlineStr">
        <is>
          <t>Owner</t>
        </is>
      </c>
      <c r="M3" s="9" t="inlineStr">
        <is>
          <t>Due date</t>
        </is>
      </c>
      <c r="N3" s="9" t="inlineStr">
        <is>
          <t>File / location</t>
        </is>
      </c>
      <c r="O3" s="9" t="inlineStr">
        <is>
          <t>Notes</t>
        </is>
      </c>
      <c r="P3" s="9" t="inlineStr">
        <is>
          <t>Readiness score</t>
        </is>
      </c>
    </row>
    <row r="4">
      <c r="A4" s="10" t="inlineStr">
        <is>
          <t>Figure S1</t>
        </is>
      </c>
      <c r="B4" s="10" t="inlineStr">
        <is>
          <t>Search and evidence workflow</t>
        </is>
      </c>
      <c r="C4" s="10" t="inlineStr">
        <is>
          <t>Databases, strings, dates, counts, inclusion/exclusion and review boundary.</t>
        </is>
      </c>
      <c r="D4" s="10" t="inlineStr">
        <is>
          <t>Template available.</t>
        </is>
      </c>
      <c r="E4" s="10" t="inlineStr">
        <is>
          <t>Actual search log and counts.</t>
        </is>
      </c>
      <c r="F4" s="10" t="inlineStr">
        <is>
          <t>No</t>
        </is>
      </c>
      <c r="G4" s="10" t="inlineStr">
        <is>
          <t>Yes</t>
        </is>
      </c>
      <c r="H4" s="10" t="inlineStr">
        <is>
          <t>Search export + exclusion log.</t>
        </is>
      </c>
      <c r="I4" s="10" t="inlineStr">
        <is>
          <t>Not started</t>
        </is>
      </c>
      <c r="J4" s="10" t="inlineStr">
        <is>
          <t>Critical</t>
        </is>
      </c>
      <c r="K4" s="10" t="inlineStr">
        <is>
          <t>Populate only with verified records.</t>
        </is>
      </c>
      <c r="L4" s="10" t="inlineStr"/>
      <c r="M4" s="10" t="inlineStr"/>
      <c r="N4" s="10" t="inlineStr">
        <is>
          <t>From_Sound_to_Shelf_TIFS_Supplementary_Material.docx</t>
        </is>
      </c>
      <c r="O4" s="10" t="inlineStr"/>
      <c r="P4" s="10" t="n">
        <v>1</v>
      </c>
    </row>
    <row r="5">
      <c r="A5" s="10" t="inlineStr">
        <is>
          <t>Figure S2</t>
        </is>
      </c>
      <c r="B5" s="10" t="inlineStr">
        <is>
          <t>Measurement and validation architecture</t>
        </is>
      </c>
      <c r="C5" s="10" t="inlineStr">
        <is>
          <t>Loaded map, route controls, sentinel fruit, external transfer.</t>
        </is>
      </c>
      <c r="D5" s="10" t="inlineStr">
        <is>
          <t>Draft available.</t>
        </is>
      </c>
      <c r="E5" s="10" t="inlineStr">
        <is>
          <t>Final instrument list, calibration and statistical unitization.</t>
        </is>
      </c>
      <c r="F5" s="10" t="inlineStr">
        <is>
          <t>No</t>
        </is>
      </c>
      <c r="G5" s="10" t="inlineStr">
        <is>
          <t>Partial</t>
        </is>
      </c>
      <c r="H5" s="10" t="inlineStr">
        <is>
          <t>Engineering and methods review.</t>
        </is>
      </c>
      <c r="I5" s="10" t="inlineStr">
        <is>
          <t>Needs revision</t>
        </is>
      </c>
      <c r="J5" s="10" t="inlineStr">
        <is>
          <t>High</t>
        </is>
      </c>
      <c r="K5" s="10" t="inlineStr">
        <is>
          <t>Simplify and align with Table S5.</t>
        </is>
      </c>
      <c r="L5" s="10" t="inlineStr"/>
      <c r="M5" s="10" t="inlineStr"/>
      <c r="N5" s="10" t="inlineStr">
        <is>
          <t>From_Sound_to_Shelf_TIFS_Supplementary_Material.docx</t>
        </is>
      </c>
      <c r="O5" s="10" t="inlineStr"/>
      <c r="P5" s="10" t="n">
        <v>3</v>
      </c>
    </row>
    <row r="6">
      <c r="A6" s="10" t="inlineStr">
        <is>
          <t>Table S1</t>
        </is>
      </c>
      <c r="B6" s="10" t="inlineStr">
        <is>
          <t>Search strategy / eligibility</t>
        </is>
      </c>
      <c r="C6" s="10" t="inlineStr">
        <is>
          <t>Exact strings, dates, counts and exclusions.</t>
        </is>
      </c>
      <c r="D6" s="10" t="inlineStr">
        <is>
          <t>Partially populated.</t>
        </is>
      </c>
      <c r="E6" s="10" t="inlineStr">
        <is>
          <t>All final databases and records.</t>
        </is>
      </c>
      <c r="F6" s="10" t="inlineStr">
        <is>
          <t>No</t>
        </is>
      </c>
      <c r="G6" s="10" t="inlineStr">
        <is>
          <t>Yes</t>
        </is>
      </c>
      <c r="H6" s="10" t="inlineStr">
        <is>
          <t>Search log.</t>
        </is>
      </c>
      <c r="I6" s="10" t="inlineStr">
        <is>
          <t>Not started</t>
        </is>
      </c>
      <c r="J6" s="10" t="inlineStr">
        <is>
          <t>Critical</t>
        </is>
      </c>
      <c r="K6" s="10" t="inlineStr">
        <is>
          <t>Finish before any exhaustive-sounding claim.</t>
        </is>
      </c>
      <c r="L6" s="10" t="inlineStr"/>
      <c r="M6" s="10" t="inlineStr"/>
      <c r="N6" s="10" t="inlineStr">
        <is>
          <t>From_Sound_to_Shelf_TIFS_Supplementary_Material.docx</t>
        </is>
      </c>
      <c r="O6" s="10" t="inlineStr"/>
      <c r="P6" s="10" t="n">
        <v>1</v>
      </c>
    </row>
    <row r="7">
      <c r="A7" s="10" t="inlineStr">
        <is>
          <t>Table S2</t>
        </is>
      </c>
      <c r="B7" s="10" t="inlineStr">
        <is>
          <t>Full study extraction</t>
        </is>
      </c>
      <c r="C7" s="10" t="inlineStr">
        <is>
          <t>Complete source-grounded record for seven studies.</t>
        </is>
      </c>
      <c r="D7" s="10" t="inlineStr">
        <is>
          <t>Partially populated.</t>
        </is>
      </c>
      <c r="E7" s="10" t="inlineStr">
        <is>
          <t>Sample sizes, geometry, controls, source pages.</t>
        </is>
      </c>
      <c r="F7" s="10" t="inlineStr">
        <is>
          <t>No</t>
        </is>
      </c>
      <c r="G7" s="10" t="inlineStr">
        <is>
          <t>Yes</t>
        </is>
      </c>
      <c r="H7" s="10" t="inlineStr">
        <is>
          <t>Full texts.</t>
        </is>
      </c>
      <c r="I7" s="10" t="inlineStr">
        <is>
          <t>Needs verification</t>
        </is>
      </c>
      <c r="J7" s="10" t="inlineStr">
        <is>
          <t>Critical</t>
        </is>
      </c>
      <c r="K7" s="10" t="inlineStr">
        <is>
          <t>Complete without inference.</t>
        </is>
      </c>
      <c r="L7" s="10" t="inlineStr"/>
      <c r="M7" s="10" t="inlineStr"/>
      <c r="N7" s="10" t="inlineStr">
        <is>
          <t>From_Sound_to_Shelf_TIFS_Supplementary_Material.docx</t>
        </is>
      </c>
      <c r="O7" s="10" t="inlineStr"/>
      <c r="P7" s="10" t="n">
        <v>2</v>
      </c>
    </row>
    <row r="8">
      <c r="A8" s="10" t="inlineStr">
        <is>
          <t>Table S3</t>
        </is>
      </c>
      <c r="B8" s="10" t="inlineStr">
        <is>
          <t>Grade justifications</t>
        </is>
      </c>
      <c r="C8" s="10" t="inlineStr">
        <is>
          <t>Each evidence grade linked to source location and rationale.</t>
        </is>
      </c>
      <c r="D8" s="10" t="inlineStr">
        <is>
          <t>Grade matrix populated; source pages absent.</t>
        </is>
      </c>
      <c r="E8" s="10" t="inlineStr">
        <is>
          <t>Cell-by-cell source pages and reviewer agreement.</t>
        </is>
      </c>
      <c r="F8" s="10" t="inlineStr">
        <is>
          <t>No</t>
        </is>
      </c>
      <c r="G8" s="10" t="inlineStr">
        <is>
          <t>Yes</t>
        </is>
      </c>
      <c r="H8" s="10" t="inlineStr">
        <is>
          <t>Coding log.</t>
        </is>
      </c>
      <c r="I8" s="10" t="inlineStr">
        <is>
          <t>Needs verification</t>
        </is>
      </c>
      <c r="J8" s="10" t="inlineStr">
        <is>
          <t>Critical</t>
        </is>
      </c>
      <c r="K8" s="10" t="inlineStr">
        <is>
          <t>Independent verification required.</t>
        </is>
      </c>
      <c r="L8" s="10" t="inlineStr"/>
      <c r="M8" s="10" t="inlineStr"/>
      <c r="N8" s="10" t="inlineStr">
        <is>
          <t>From_Sound_to_Shelf_TIFS_Supplementary_Material.docx</t>
        </is>
      </c>
      <c r="O8" s="10" t="inlineStr"/>
      <c r="P8" s="10" t="n">
        <v>2</v>
      </c>
    </row>
    <row r="9">
      <c r="A9" s="10" t="inlineStr">
        <is>
          <t>Table S4</t>
        </is>
      </c>
      <c r="B9" s="10" t="inlineStr">
        <is>
          <t>Exposure Passport dictionary</t>
        </is>
      </c>
      <c r="C9" s="10" t="inlineStr">
        <is>
          <t>Variables, units, methods, uncertainty and applicability.</t>
        </is>
      </c>
      <c r="D9" s="10" t="inlineStr">
        <is>
          <t>Strong proposed structure.</t>
        </is>
      </c>
      <c r="E9" s="10" t="inlineStr">
        <is>
          <t>External usability / burden test.</t>
        </is>
      </c>
      <c r="F9" s="10" t="inlineStr">
        <is>
          <t>No</t>
        </is>
      </c>
      <c r="G9" s="10" t="inlineStr">
        <is>
          <t>Partial</t>
        </is>
      </c>
      <c r="H9" s="10" t="inlineStr">
        <is>
          <t>Pilot reconstruction exercise.</t>
        </is>
      </c>
      <c r="I9" s="10" t="inlineStr">
        <is>
          <t>Needs revision</t>
        </is>
      </c>
      <c r="J9" s="10" t="inlineStr">
        <is>
          <t>High</t>
        </is>
      </c>
      <c r="K9" s="10" t="inlineStr">
        <is>
          <t>Label as proposed and test.</t>
        </is>
      </c>
      <c r="L9" s="10" t="inlineStr"/>
      <c r="M9" s="10" t="inlineStr"/>
      <c r="N9" s="10" t="inlineStr">
        <is>
          <t>From_Sound_to_Shelf_TIFS_Supplementary_Material.docx</t>
        </is>
      </c>
      <c r="O9" s="10" t="inlineStr"/>
      <c r="P9" s="10" t="n">
        <v>3</v>
      </c>
    </row>
    <row r="10">
      <c r="A10" s="10" t="inlineStr">
        <is>
          <t>Table S5</t>
        </is>
      </c>
      <c r="B10" s="10" t="inlineStr">
        <is>
          <t>Experiment / statistics plan</t>
        </is>
      </c>
      <c r="C10" s="10" t="inlineStr">
        <is>
          <t>Units, controls, motion clamp, sample size, equivalence and external validation.</t>
        </is>
      </c>
      <c r="D10" s="10" t="inlineStr">
        <is>
          <t>Design logic present.</t>
        </is>
      </c>
      <c r="E10" s="10" t="inlineStr">
        <is>
          <t>Pilot variance, sample size, equivalence margin and repository plan.</t>
        </is>
      </c>
      <c r="F10" s="10" t="inlineStr">
        <is>
          <t>No</t>
        </is>
      </c>
      <c r="G10" s="10" t="inlineStr">
        <is>
          <t>Yes</t>
        </is>
      </c>
      <c r="H10" s="10" t="inlineStr">
        <is>
          <t>Pilot / statistician sign-off.</t>
        </is>
      </c>
      <c r="I10" s="10" t="inlineStr">
        <is>
          <t>Not started</t>
        </is>
      </c>
      <c r="J10" s="10" t="inlineStr">
        <is>
          <t>Critical</t>
        </is>
      </c>
      <c r="K10" s="10" t="inlineStr">
        <is>
          <t>Complete before calling design implementable.</t>
        </is>
      </c>
      <c r="L10" s="10" t="inlineStr"/>
      <c r="M10" s="10" t="inlineStr"/>
      <c r="N10" s="10" t="inlineStr">
        <is>
          <t>From_Sound_to_Shelf_TIFS_Supplementary_Material.docx</t>
        </is>
      </c>
      <c r="O10" s="10" t="inlineStr"/>
      <c r="P10" s="10" t="n">
        <v>1</v>
      </c>
    </row>
  </sheetData>
  <mergeCells count="2">
    <mergeCell ref="A1:P1"/>
    <mergeCell ref="A2:P2"/>
  </mergeCells>
  <conditionalFormatting sqref="I4:I10">
    <cfRule type="expression" priority="1" dxfId="0">
      <formula>$I4="Complete"</formula>
    </cfRule>
    <cfRule type="expression" priority="2" dxfId="1">
      <formula>$I4="In progress"</formula>
    </cfRule>
    <cfRule type="expression" priority="3" dxfId="2">
      <formula>$I4="Needs verification"</formula>
    </cfRule>
    <cfRule type="expression" priority="4" dxfId="3">
      <formula>$I4="Needs revision"</formula>
    </cfRule>
    <cfRule type="expression" priority="5" dxfId="4">
      <formula>$I4="Not started"</formula>
    </cfRule>
    <cfRule type="expression" priority="6" dxfId="5">
      <formula>$I4="Not applicable"</formula>
    </cfRule>
  </conditionalFormatting>
  <conditionalFormatting sqref="J4:J10">
    <cfRule type="expression" priority="7" dxfId="4">
      <formula>$J4="Critical"</formula>
    </cfRule>
    <cfRule type="expression" priority="8" dxfId="3">
      <formula>$J4="High"</formula>
    </cfRule>
    <cfRule type="expression" priority="9" dxfId="2">
      <formula>$J4="Medium"</formula>
    </cfRule>
    <cfRule type="expression" priority="10" dxfId="0">
      <formula>$J4="Low"</formula>
    </cfRule>
  </conditionalFormatting>
  <conditionalFormatting sqref="P4:P10">
    <cfRule type="cellIs" priority="11" operator="lessThan" dxfId="4">
      <formula>2</formula>
    </cfRule>
    <cfRule type="cellIs" priority="12" operator="between" dxfId="2">
      <formula>2</formula>
      <formula>2.99</formula>
    </cfRule>
    <cfRule type="cellIs" priority="13" operator="between" dxfId="1">
      <formula>3</formula>
      <formula>3.49</formula>
    </cfRule>
    <cfRule type="cellIs" priority="14" operator="greaterThanOrEqual" dxfId="0">
      <formula>3.5</formula>
    </cfRule>
  </conditionalFormatting>
  <dataValidations count="4">
    <dataValidation sqref="F4:G10" showDropDown="0" showInputMessage="0" showErrorMessage="0" allowBlank="1" type="list">
      <formula1>=Lists!$G$2:$G$5</formula1>
    </dataValidation>
    <dataValidation sqref="I4:I10" showDropDown="0" showInputMessage="0" showErrorMessage="0" allowBlank="1" type="list">
      <formula1>=Lists!$A$2:$A$7</formula1>
    </dataValidation>
    <dataValidation sqref="J4:J10" showDropDown="0" showInputMessage="0" showErrorMessage="0" allowBlank="1" type="list">
      <formula1>=Lists!$C$2:$C$5</formula1>
    </dataValidation>
    <dataValidation sqref="P4:P10" showDropDown="0" showInputMessage="0" showErrorMessage="0" allowBlank="1" type="whole" operator="between">
      <formula1>0</formula1>
      <formula2>4</formula2>
    </dataValidation>
  </dataValidations>
  <pageMargins left="0.25" right="0.25" top="0.4" bottom="0.4" header="0.5" footer="0.5"/>
  <pageSetup orientation="landscape" fitToHeight="0" fitToWidth="1"/>
  <tableParts count="1">
    <tablePart xmlns:r="http://schemas.openxmlformats.org/officeDocument/2006/relationships" r:id="rId1"/>
  </tableParts>
</worksheet>
</file>

<file path=xl/worksheets/sheet13.xml><?xml version="1.0" encoding="utf-8"?>
<worksheet xmlns="http://schemas.openxmlformats.org/spreadsheetml/2006/main">
  <sheetPr>
    <tabColor rgb="00548235"/>
    <outlinePr summaryBelow="1" summaryRight="1"/>
    <pageSetUpPr fitToPage="1"/>
  </sheetPr>
  <dimension ref="A1:Q130"/>
  <sheetViews>
    <sheetView showGridLines="0" zoomScale="70" workbookViewId="0">
      <pane ySplit="3" topLeftCell="A4" activePane="bottomLeft" state="frozen"/>
      <selection pane="bottomLeft" activeCell="A1" sqref="A1"/>
    </sheetView>
  </sheetViews>
  <sheetFormatPr baseColWidth="8" defaultRowHeight="15"/>
  <cols>
    <col width="8" customWidth="1" min="1" max="1"/>
    <col width="95" customWidth="1" min="2" max="2"/>
    <col width="9" customWidth="1" min="3" max="3"/>
    <col width="38" customWidth="1" min="4" max="4"/>
    <col width="42" customWidth="1" min="5" max="5"/>
    <col width="38" customWidth="1" min="6" max="6"/>
    <col width="24" customWidth="1" min="7" max="7"/>
    <col width="15" customWidth="1" min="8" max="8"/>
    <col width="17" customWidth="1" min="9" max="9"/>
    <col width="20" customWidth="1" min="10" max="10"/>
    <col width="19" customWidth="1" min="11" max="11"/>
    <col width="15" customWidth="1" min="12" max="12"/>
    <col width="46" customWidth="1" min="13" max="13"/>
    <col width="14" customWidth="1" min="14" max="14"/>
    <col width="38" customWidth="1" min="15" max="15"/>
    <col width="12" customWidth="1" min="16" max="16"/>
    <col width="18" customWidth="1" min="17" max="17"/>
  </cols>
  <sheetData>
    <row r="1" ht="30" customHeight="1">
      <c r="A1" s="1" t="inlineStr">
        <is>
          <t>Reference and Source Verification Audit</t>
        </is>
      </c>
    </row>
    <row r="2" ht="28" customHeight="1">
      <c r="A2" s="2" t="inlineStr">
        <is>
          <t>127 references extracted from the current manuscript. Verification fields are intentionally blank / pending.</t>
        </is>
      </c>
    </row>
    <row r="3">
      <c r="A3" s="9" t="inlineStr">
        <is>
          <t>Ref #</t>
        </is>
      </c>
      <c r="B3" s="9" t="inlineStr">
        <is>
          <t>Full citation</t>
        </is>
      </c>
      <c r="C3" s="9" t="inlineStr">
        <is>
          <t>Year</t>
        </is>
      </c>
      <c r="D3" s="9" t="inlineStr">
        <is>
          <t>Journal / source</t>
        </is>
      </c>
      <c r="E3" s="9" t="inlineStr">
        <is>
          <t>DOI / URL</t>
        </is>
      </c>
      <c r="F3" s="9" t="inlineStr">
        <is>
          <t>Evidence cluster</t>
        </is>
      </c>
      <c r="G3" s="9" t="inlineStr">
        <is>
          <t>Source type</t>
        </is>
      </c>
      <c r="H3" s="9" t="inlineStr">
        <is>
          <t>Current / recent?</t>
        </is>
      </c>
      <c r="I3" s="9" t="inlineStr">
        <is>
          <t>Full text obtained?</t>
        </is>
      </c>
      <c r="J3" s="9" t="inlineStr">
        <is>
          <t>Citation details verified?</t>
        </is>
      </c>
      <c r="K3" s="9" t="inlineStr">
        <is>
          <t>Claim support checked?</t>
        </is>
      </c>
      <c r="L3" s="9" t="inlineStr">
        <is>
          <t>Data extracted?</t>
        </is>
      </c>
      <c r="M3" s="9" t="inlineStr">
        <is>
          <t>Primary claim(s) supported</t>
        </is>
      </c>
      <c r="N3" s="9" t="inlineStr">
        <is>
          <t>Duplicate DOI?</t>
        </is>
      </c>
      <c r="O3" s="9" t="inlineStr">
        <is>
          <t>Risk / issue</t>
        </is>
      </c>
      <c r="P3" s="9" t="inlineStr">
        <is>
          <t>Priority</t>
        </is>
      </c>
      <c r="Q3" s="9" t="inlineStr">
        <is>
          <t>Status</t>
        </is>
      </c>
    </row>
    <row r="4">
      <c r="A4" s="10" t="n">
        <v>1</v>
      </c>
      <c r="B4" s="10" t="inlineStr">
        <is>
          <t>Soria AC, Villamiel M. (2010). Effect of ultrasound on the technological properties and bioactivity of food: a review. Trends in Food Science &amp; Technology, 21(7), 323-331. https://doi.org/10.1016/j.tifs.2010.04.003</t>
        </is>
      </c>
      <c r="C4" s="10" t="n">
        <v>2010</v>
      </c>
      <c r="D4" s="10" t="inlineStr">
        <is>
          <t>Effect of ultrasound on the technological properties and bioactivity of food: a review</t>
        </is>
      </c>
      <c r="E4" s="10" t="inlineStr">
        <is>
          <t>https://doi.org/10.1016/j.tifs.2010.04.003</t>
        </is>
      </c>
      <c r="F4" s="10" t="inlineStr">
        <is>
          <t>Ultrasound reviews / mechanisms / scale-up</t>
        </is>
      </c>
      <c r="G4" s="10" t="inlineStr">
        <is>
          <t>Review</t>
        </is>
      </c>
      <c r="H4" s="10" t="inlineStr">
        <is>
          <t>No</t>
        </is>
      </c>
      <c r="I4" s="10" t="inlineStr">
        <is>
          <t>No</t>
        </is>
      </c>
      <c r="J4" s="10" t="inlineStr">
        <is>
          <t>No</t>
        </is>
      </c>
      <c r="K4" s="10" t="inlineStr">
        <is>
          <t>No</t>
        </is>
      </c>
      <c r="L4" s="10" t="inlineStr">
        <is>
          <t>No</t>
        </is>
      </c>
      <c r="M4" s="10" t="inlineStr"/>
      <c r="N4" s="10">
        <f>IF(E4="","",IF(COUNTIF($E$4:$E$130,E4)&gt;1,"Duplicate",""))</f>
        <v/>
      </c>
      <c r="O4" s="10" t="inlineStr"/>
      <c r="P4" s="10" t="inlineStr">
        <is>
          <t>Medium</t>
        </is>
      </c>
      <c r="Q4" s="10" t="inlineStr">
        <is>
          <t>Needs verification</t>
        </is>
      </c>
    </row>
    <row r="5">
      <c r="A5" s="10" t="n">
        <v>2</v>
      </c>
      <c r="B5" s="10" t="inlineStr">
        <is>
          <t>Chemat F, Zill-e-Huma, Khan MK. (2011). Applications of ultrasound in food technology: Processing, preservation and extraction. Ultrasonics Sonochemistry, 18(4), 813-835. https://doi.org/10.1016/j.ultsonch.2010.11.023</t>
        </is>
      </c>
      <c r="C5" s="10" t="n">
        <v>2011</v>
      </c>
      <c r="D5" s="10" t="inlineStr">
        <is>
          <t>Applications of ultrasound in food technology: Processing</t>
        </is>
      </c>
      <c r="E5" s="10" t="inlineStr">
        <is>
          <t>https://doi.org/10.1016/j.ultsonch.2010.11.023</t>
        </is>
      </c>
      <c r="F5" s="10" t="inlineStr">
        <is>
          <t>Ultrasound reviews / mechanisms / scale-up</t>
        </is>
      </c>
      <c r="G5" s="10" t="inlineStr">
        <is>
          <t>Primary / research article</t>
        </is>
      </c>
      <c r="H5" s="10" t="inlineStr">
        <is>
          <t>No</t>
        </is>
      </c>
      <c r="I5" s="10" t="inlineStr">
        <is>
          <t>No</t>
        </is>
      </c>
      <c r="J5" s="10" t="inlineStr">
        <is>
          <t>No</t>
        </is>
      </c>
      <c r="K5" s="10" t="inlineStr">
        <is>
          <t>No</t>
        </is>
      </c>
      <c r="L5" s="10" t="inlineStr">
        <is>
          <t>No</t>
        </is>
      </c>
      <c r="M5" s="10" t="inlineStr"/>
      <c r="N5" s="10">
        <f>IF(E5="","",IF(COUNTIF($E$4:$E$130,E5)&gt;1,"Duplicate",""))</f>
        <v/>
      </c>
      <c r="O5" s="10" t="inlineStr"/>
      <c r="P5" s="10" t="inlineStr">
        <is>
          <t>Medium</t>
        </is>
      </c>
      <c r="Q5" s="10" t="inlineStr">
        <is>
          <t>Needs verification</t>
        </is>
      </c>
    </row>
    <row r="6">
      <c r="A6" s="10" t="n">
        <v>3</v>
      </c>
      <c r="B6" s="10" t="inlineStr">
        <is>
          <t>Nicolau-Lapeña I, Lafarga T, Viñas I, Abadias M, Bobo G, Aguiló-Aguayo I. (2019). Ultrasound Processing Alone or in Combination with Other Chemical or Physical Treatments as a Safety and Quality Preservation Strategy of Fresh and Processed Fruits and Vegetables: A Review. Food and Bioprocess Technology, 12(9), 1452-1471. https://doi.org/10.1007/s11947-019-02313-y</t>
        </is>
      </c>
      <c r="C6" s="10" t="n">
        <v>2019</v>
      </c>
      <c r="D6" s="10" t="inlineStr">
        <is>
          <t>Ultrasound Processing Alone or in Combination with Other Chemical or Physical Treatments as a Safety and Quality Preservation Strategy of Fresh and Processed Fruits and Vegetables: A Review</t>
        </is>
      </c>
      <c r="E6" s="10" t="inlineStr">
        <is>
          <t>https://doi.org/10.1007/s11947-019-02313-y</t>
        </is>
      </c>
      <c r="F6" s="10" t="inlineStr">
        <is>
          <t>Ultrasound reviews / mechanisms / scale-up</t>
        </is>
      </c>
      <c r="G6" s="10" t="inlineStr">
        <is>
          <t>Review</t>
        </is>
      </c>
      <c r="H6" s="10" t="inlineStr">
        <is>
          <t>No</t>
        </is>
      </c>
      <c r="I6" s="10" t="inlineStr">
        <is>
          <t>No</t>
        </is>
      </c>
      <c r="J6" s="10" t="inlineStr">
        <is>
          <t>No</t>
        </is>
      </c>
      <c r="K6" s="10" t="inlineStr">
        <is>
          <t>No</t>
        </is>
      </c>
      <c r="L6" s="10" t="inlineStr">
        <is>
          <t>No</t>
        </is>
      </c>
      <c r="M6" s="10" t="inlineStr"/>
      <c r="N6" s="10">
        <f>IF(E6="","",IF(COUNTIF($E$4:$E$130,E6)&gt;1,"Duplicate",""))</f>
        <v/>
      </c>
      <c r="O6" s="10" t="inlineStr"/>
      <c r="P6" s="10" t="inlineStr">
        <is>
          <t>Medium</t>
        </is>
      </c>
      <c r="Q6" s="10" t="inlineStr">
        <is>
          <t>Needs verification</t>
        </is>
      </c>
    </row>
    <row r="7">
      <c r="A7" s="10" t="n">
        <v>4</v>
      </c>
      <c r="B7" s="10" t="inlineStr">
        <is>
          <t>Lepaus BM, Valiati BS, Machado BG, Domingos MM, Silva MN, Faria-Silva L, et al. (2023). Impact of ultrasound processing on the nutritional components of fruit and vegetable juices. Trends in Food Science &amp; Technology, 138, 752-765. https://doi.org/10.1016/j.tifs.2023.07.002</t>
        </is>
      </c>
      <c r="C7" s="10" t="n">
        <v>2023</v>
      </c>
      <c r="D7" s="10" t="inlineStr">
        <is>
          <t>Impact of ultrasound processing on the nutritional components of fruit and vegetable juices</t>
        </is>
      </c>
      <c r="E7" s="10" t="inlineStr">
        <is>
          <t>https://doi.org/10.1016/j.tifs.2023.07.002</t>
        </is>
      </c>
      <c r="F7" s="10" t="inlineStr">
        <is>
          <t>Ultrasound reviews / mechanisms / scale-up</t>
        </is>
      </c>
      <c r="G7" s="10" t="inlineStr">
        <is>
          <t>Primary / research article</t>
        </is>
      </c>
      <c r="H7" s="10" t="inlineStr">
        <is>
          <t>No</t>
        </is>
      </c>
      <c r="I7" s="10" t="inlineStr">
        <is>
          <t>No</t>
        </is>
      </c>
      <c r="J7" s="10" t="inlineStr">
        <is>
          <t>No</t>
        </is>
      </c>
      <c r="K7" s="10" t="inlineStr">
        <is>
          <t>No</t>
        </is>
      </c>
      <c r="L7" s="10" t="inlineStr">
        <is>
          <t>No</t>
        </is>
      </c>
      <c r="M7" s="10" t="inlineStr"/>
      <c r="N7" s="10">
        <f>IF(E7="","",IF(COUNTIF($E$4:$E$130,E7)&gt;1,"Duplicate",""))</f>
        <v/>
      </c>
      <c r="O7" s="10" t="inlineStr"/>
      <c r="P7" s="10" t="inlineStr">
        <is>
          <t>Medium</t>
        </is>
      </c>
      <c r="Q7" s="10" t="inlineStr">
        <is>
          <t>Needs verification</t>
        </is>
      </c>
    </row>
    <row r="8">
      <c r="A8" s="10" t="n">
        <v>5</v>
      </c>
      <c r="B8" s="10" t="inlineStr">
        <is>
          <t>Guo M, Lv X, Wang D, Chen H, Wei F. (2025). Innovative integration of computer vision, IoT, and digital twin in food quality and safety assessment. Trends in Food Science &amp; Technology, 163, 105176. https://doi.org/10.1016/j.tifs.2025.105176</t>
        </is>
      </c>
      <c r="C8" s="10" t="n">
        <v>2025</v>
      </c>
      <c r="D8" s="10" t="inlineStr">
        <is>
          <t>Innovative integration of computer vision</t>
        </is>
      </c>
      <c r="E8" s="10" t="inlineStr">
        <is>
          <t>https://doi.org/10.1016/j.tifs.2025.105176</t>
        </is>
      </c>
      <c r="F8" s="10" t="inlineStr">
        <is>
          <t>Ultrasound reviews / mechanisms / scale-up</t>
        </is>
      </c>
      <c r="G8" s="10" t="inlineStr">
        <is>
          <t>Primary / research article</t>
        </is>
      </c>
      <c r="H8" s="10" t="inlineStr">
        <is>
          <t>Yes</t>
        </is>
      </c>
      <c r="I8" s="10" t="inlineStr">
        <is>
          <t>No</t>
        </is>
      </c>
      <c r="J8" s="10" t="inlineStr">
        <is>
          <t>No</t>
        </is>
      </c>
      <c r="K8" s="10" t="inlineStr">
        <is>
          <t>No</t>
        </is>
      </c>
      <c r="L8" s="10" t="inlineStr">
        <is>
          <t>No</t>
        </is>
      </c>
      <c r="M8" s="10" t="inlineStr"/>
      <c r="N8" s="10">
        <f>IF(E8="","",IF(COUNTIF($E$4:$E$130,E8)&gt;1,"Duplicate",""))</f>
        <v/>
      </c>
      <c r="O8" s="10" t="inlineStr"/>
      <c r="P8" s="10" t="inlineStr">
        <is>
          <t>Medium</t>
        </is>
      </c>
      <c r="Q8" s="10" t="inlineStr">
        <is>
          <t>Needs verification</t>
        </is>
      </c>
    </row>
    <row r="9">
      <c r="A9" s="10" t="n">
        <v>6</v>
      </c>
      <c r="B9" s="10" t="inlineStr">
        <is>
          <t>İnanlar B, Altay F. (2026). Digital twin technology in AI-operated metaverse for food processing: A pathway to sustainability, efficiency and innovation. Trends in Food Science &amp; Technology, 168, 105491. https://doi.org/10.1016/j.tifs.2025.105491</t>
        </is>
      </c>
      <c r="C9" s="10" t="n">
        <v>2026</v>
      </c>
      <c r="D9" s="10" t="inlineStr">
        <is>
          <t>Digital twin technology in AI-operated metaverse for food processing: A pathway to sustainability</t>
        </is>
      </c>
      <c r="E9" s="10" t="inlineStr">
        <is>
          <t>https://doi.org/10.1016/j.tifs.2025.105491</t>
        </is>
      </c>
      <c r="F9" s="10" t="inlineStr">
        <is>
          <t>Ultrasound reviews / mechanisms / scale-up</t>
        </is>
      </c>
      <c r="G9" s="10" t="inlineStr">
        <is>
          <t>Primary / research article</t>
        </is>
      </c>
      <c r="H9" s="10" t="inlineStr">
        <is>
          <t>Yes</t>
        </is>
      </c>
      <c r="I9" s="10" t="inlineStr">
        <is>
          <t>No</t>
        </is>
      </c>
      <c r="J9" s="10" t="inlineStr">
        <is>
          <t>No</t>
        </is>
      </c>
      <c r="K9" s="10" t="inlineStr">
        <is>
          <t>No</t>
        </is>
      </c>
      <c r="L9" s="10" t="inlineStr">
        <is>
          <t>No</t>
        </is>
      </c>
      <c r="M9" s="10" t="inlineStr"/>
      <c r="N9" s="10">
        <f>IF(E9="","",IF(COUNTIF($E$4:$E$130,E9)&gt;1,"Duplicate",""))</f>
        <v/>
      </c>
      <c r="O9" s="10" t="inlineStr"/>
      <c r="P9" s="10" t="inlineStr">
        <is>
          <t>Medium</t>
        </is>
      </c>
      <c r="Q9" s="10" t="inlineStr">
        <is>
          <t>Needs verification</t>
        </is>
      </c>
    </row>
    <row r="10">
      <c r="A10" s="10" t="n">
        <v>7</v>
      </c>
      <c r="B10" s="10" t="inlineStr">
        <is>
          <t>Li F, Qin Z, Ren C, Li W, Gao P, Zou X, et al. (2026). Multimodal nondestructive sensing and digital-twin-enabled quality control in soybean foods: A process-state-oriented review. Trends in Food Science &amp; Technology, 174, 105815. https://doi.org/10.1016/j.tifs.2026.105815</t>
        </is>
      </c>
      <c r="C10" s="10" t="n">
        <v>2026</v>
      </c>
      <c r="D10" s="10" t="inlineStr">
        <is>
          <t>Multimodal nondestructive sensing and digital-twin-enabled quality control in soybean foods: A process-state-oriented review</t>
        </is>
      </c>
      <c r="E10" s="10" t="inlineStr">
        <is>
          <t>https://doi.org/10.1016/j.tifs.2026.105815</t>
        </is>
      </c>
      <c r="F10" s="10" t="inlineStr">
        <is>
          <t>Ultrasound reviews / mechanisms / scale-up</t>
        </is>
      </c>
      <c r="G10" s="10" t="inlineStr">
        <is>
          <t>Review</t>
        </is>
      </c>
      <c r="H10" s="10" t="inlineStr">
        <is>
          <t>Yes</t>
        </is>
      </c>
      <c r="I10" s="10" t="inlineStr">
        <is>
          <t>No</t>
        </is>
      </c>
      <c r="J10" s="10" t="inlineStr">
        <is>
          <t>No</t>
        </is>
      </c>
      <c r="K10" s="10" t="inlineStr">
        <is>
          <t>No</t>
        </is>
      </c>
      <c r="L10" s="10" t="inlineStr">
        <is>
          <t>No</t>
        </is>
      </c>
      <c r="M10" s="10" t="inlineStr"/>
      <c r="N10" s="10">
        <f>IF(E10="","",IF(COUNTIF($E$4:$E$130,E10)&gt;1,"Duplicate",""))</f>
        <v/>
      </c>
      <c r="O10" s="10" t="inlineStr"/>
      <c r="P10" s="10" t="inlineStr">
        <is>
          <t>Medium</t>
        </is>
      </c>
      <c r="Q10" s="10" t="inlineStr">
        <is>
          <t>Needs verification</t>
        </is>
      </c>
    </row>
    <row r="11">
      <c r="A11" s="10" t="n">
        <v>8</v>
      </c>
      <c r="B11" s="10" t="inlineStr">
        <is>
          <t>Kumar G, Le DT, Durco J, Cianciosi S, Devkota L, Dhital S. (2023). Innovations in legume processing: Ultrasound-based strategies for enhanced legume hydration and processing. Trends in Food Science &amp; Technology, 139, 104122. https://doi.org/10.1016/j.tifs.2023.104122</t>
        </is>
      </c>
      <c r="C11" s="10" t="n">
        <v>2023</v>
      </c>
      <c r="D11" s="10" t="inlineStr">
        <is>
          <t>Innovations in legume processing: Ultrasound-based strategies for enhanced legume hydration and processing</t>
        </is>
      </c>
      <c r="E11" s="10" t="inlineStr">
        <is>
          <t>https://doi.org/10.1016/j.tifs.2023.104122</t>
        </is>
      </c>
      <c r="F11" s="10" t="inlineStr">
        <is>
          <t>Ultrasound reviews / mechanisms / scale-up</t>
        </is>
      </c>
      <c r="G11" s="10" t="inlineStr">
        <is>
          <t>Primary / research article</t>
        </is>
      </c>
      <c r="H11" s="10" t="inlineStr">
        <is>
          <t>No</t>
        </is>
      </c>
      <c r="I11" s="10" t="inlineStr">
        <is>
          <t>No</t>
        </is>
      </c>
      <c r="J11" s="10" t="inlineStr">
        <is>
          <t>No</t>
        </is>
      </c>
      <c r="K11" s="10" t="inlineStr">
        <is>
          <t>No</t>
        </is>
      </c>
      <c r="L11" s="10" t="inlineStr">
        <is>
          <t>No</t>
        </is>
      </c>
      <c r="M11" s="10" t="inlineStr"/>
      <c r="N11" s="10">
        <f>IF(E11="","",IF(COUNTIF($E$4:$E$130,E11)&gt;1,"Duplicate",""))</f>
        <v/>
      </c>
      <c r="O11" s="10" t="inlineStr"/>
      <c r="P11" s="10" t="inlineStr">
        <is>
          <t>Medium</t>
        </is>
      </c>
      <c r="Q11" s="10" t="inlineStr">
        <is>
          <t>Needs verification</t>
        </is>
      </c>
    </row>
    <row r="12">
      <c r="A12" s="10" t="n">
        <v>9</v>
      </c>
      <c r="B12" s="10" t="inlineStr">
        <is>
          <t>Zheng X, Zou B, Zhang J, Cai W, Na X, Du M, et al. (2024). Recent advances of ultrasound-assisted technology on aquatic protein processing: Extraction, modification, and freezing/thawing-induced oxidation. Trends in Food Science &amp; Technology, 144, 104309. https://doi.org/10.1016/j.tifs.2023.104309</t>
        </is>
      </c>
      <c r="C12" s="10" t="n">
        <v>2024</v>
      </c>
      <c r="D12" s="10" t="inlineStr">
        <is>
          <t>Recent advances of ultrasound-assisted technology on aquatic protein processing: Extraction</t>
        </is>
      </c>
      <c r="E12" s="10" t="inlineStr">
        <is>
          <t>https://doi.org/10.1016/j.tifs.2023.104309</t>
        </is>
      </c>
      <c r="F12" s="10" t="inlineStr">
        <is>
          <t>Ultrasound reviews / mechanisms / scale-up</t>
        </is>
      </c>
      <c r="G12" s="10" t="inlineStr">
        <is>
          <t>Review</t>
        </is>
      </c>
      <c r="H12" s="10" t="inlineStr">
        <is>
          <t>Yes</t>
        </is>
      </c>
      <c r="I12" s="10" t="inlineStr">
        <is>
          <t>No</t>
        </is>
      </c>
      <c r="J12" s="10" t="inlineStr">
        <is>
          <t>No</t>
        </is>
      </c>
      <c r="K12" s="10" t="inlineStr">
        <is>
          <t>No</t>
        </is>
      </c>
      <c r="L12" s="10" t="inlineStr">
        <is>
          <t>No</t>
        </is>
      </c>
      <c r="M12" s="10" t="inlineStr"/>
      <c r="N12" s="10">
        <f>IF(E12="","",IF(COUNTIF($E$4:$E$130,E12)&gt;1,"Duplicate",""))</f>
        <v/>
      </c>
      <c r="O12" s="10" t="inlineStr"/>
      <c r="P12" s="10" t="inlineStr">
        <is>
          <t>Medium</t>
        </is>
      </c>
      <c r="Q12" s="10" t="inlineStr">
        <is>
          <t>Needs verification</t>
        </is>
      </c>
    </row>
    <row r="13">
      <c r="A13" s="10" t="n">
        <v>10</v>
      </c>
      <c r="B13" s="10" t="inlineStr">
        <is>
          <t>Ashokkumar M. (2011). The characterization of acoustic cavitation bubbles – An overview. Ultrasonics Sonochemistry, 18(4), 864-872. https://doi.org/10.1016/j.ultsonch.2010.11.016</t>
        </is>
      </c>
      <c r="C13" s="10" t="n">
        <v>2011</v>
      </c>
      <c r="D13" s="10" t="inlineStr">
        <is>
          <t>The characterization of acoustic cavitation bubbles – An overview</t>
        </is>
      </c>
      <c r="E13" s="10" t="inlineStr">
        <is>
          <t>https://doi.org/10.1016/j.ultsonch.2010.11.016</t>
        </is>
      </c>
      <c r="F13" s="10" t="inlineStr">
        <is>
          <t>Ultrasound reviews / mechanisms / scale-up</t>
        </is>
      </c>
      <c r="G13" s="10" t="inlineStr">
        <is>
          <t>Primary / research article</t>
        </is>
      </c>
      <c r="H13" s="10" t="inlineStr">
        <is>
          <t>No</t>
        </is>
      </c>
      <c r="I13" s="10" t="inlineStr">
        <is>
          <t>No</t>
        </is>
      </c>
      <c r="J13" s="10" t="inlineStr">
        <is>
          <t>No</t>
        </is>
      </c>
      <c r="K13" s="10" t="inlineStr">
        <is>
          <t>No</t>
        </is>
      </c>
      <c r="L13" s="10" t="inlineStr">
        <is>
          <t>No</t>
        </is>
      </c>
      <c r="M13" s="10" t="inlineStr"/>
      <c r="N13" s="10">
        <f>IF(E13="","",IF(COUNTIF($E$4:$E$130,E13)&gt;1,"Duplicate",""))</f>
        <v/>
      </c>
      <c r="O13" s="10" t="inlineStr"/>
      <c r="P13" s="10" t="inlineStr">
        <is>
          <t>Medium</t>
        </is>
      </c>
      <c r="Q13" s="10" t="inlineStr">
        <is>
          <t>Needs verification</t>
        </is>
      </c>
    </row>
    <row r="14">
      <c r="A14" s="10" t="n">
        <v>11</v>
      </c>
      <c r="B14" s="10" t="inlineStr">
        <is>
          <t>Kentish S, Feng H. (2014). Applications of Power Ultrasound in Food Processing. Annual Review of Food Science and Technology, 5(1), 263-284. https://doi.org/10.1146/annurev-food-030212-182537</t>
        </is>
      </c>
      <c r="C14" s="10" t="n">
        <v>2014</v>
      </c>
      <c r="D14" s="10" t="inlineStr">
        <is>
          <t>Applications of Power Ultrasound in Food Processing</t>
        </is>
      </c>
      <c r="E14" s="10" t="inlineStr">
        <is>
          <t>https://doi.org/10.1146/annurev-food-030212-182537</t>
        </is>
      </c>
      <c r="F14" s="10" t="inlineStr">
        <is>
          <t>Ultrasound reviews / mechanisms / scale-up</t>
        </is>
      </c>
      <c r="G14" s="10" t="inlineStr">
        <is>
          <t>Review</t>
        </is>
      </c>
      <c r="H14" s="10" t="inlineStr">
        <is>
          <t>No</t>
        </is>
      </c>
      <c r="I14" s="10" t="inlineStr">
        <is>
          <t>No</t>
        </is>
      </c>
      <c r="J14" s="10" t="inlineStr">
        <is>
          <t>No</t>
        </is>
      </c>
      <c r="K14" s="10" t="inlineStr">
        <is>
          <t>No</t>
        </is>
      </c>
      <c r="L14" s="10" t="inlineStr">
        <is>
          <t>No</t>
        </is>
      </c>
      <c r="M14" s="10" t="inlineStr"/>
      <c r="N14" s="10">
        <f>IF(E14="","",IF(COUNTIF($E$4:$E$130,E14)&gt;1,"Duplicate",""))</f>
        <v/>
      </c>
      <c r="O14" s="10" t="inlineStr"/>
      <c r="P14" s="10" t="inlineStr">
        <is>
          <t>Medium</t>
        </is>
      </c>
      <c r="Q14" s="10" t="inlineStr">
        <is>
          <t>Needs verification</t>
        </is>
      </c>
    </row>
    <row r="15">
      <c r="A15" s="10" t="n">
        <v>12</v>
      </c>
      <c r="B15" s="10" t="inlineStr">
        <is>
          <t>Leong T, Juliano P, Knoerzer K. (2017). Advances in Ultrasonic and Megasonic Processing of Foods. Food Engineering Reviews, 9(3), 237-256. https://doi.org/10.1007/s12393-017-9167-5</t>
        </is>
      </c>
      <c r="C15" s="10" t="n">
        <v>2017</v>
      </c>
      <c r="D15" s="10" t="inlineStr">
        <is>
          <t>Advances in Ultrasonic and Megasonic Processing of Foods</t>
        </is>
      </c>
      <c r="E15" s="10" t="inlineStr">
        <is>
          <t>https://doi.org/10.1007/s12393-017-9167-5</t>
        </is>
      </c>
      <c r="F15" s="10" t="inlineStr">
        <is>
          <t>Ultrasound reviews / mechanisms / scale-up</t>
        </is>
      </c>
      <c r="G15" s="10" t="inlineStr">
        <is>
          <t>Review</t>
        </is>
      </c>
      <c r="H15" s="10" t="inlineStr">
        <is>
          <t>No</t>
        </is>
      </c>
      <c r="I15" s="10" t="inlineStr">
        <is>
          <t>No</t>
        </is>
      </c>
      <c r="J15" s="10" t="inlineStr">
        <is>
          <t>No</t>
        </is>
      </c>
      <c r="K15" s="10" t="inlineStr">
        <is>
          <t>No</t>
        </is>
      </c>
      <c r="L15" s="10" t="inlineStr">
        <is>
          <t>No</t>
        </is>
      </c>
      <c r="M15" s="10" t="inlineStr"/>
      <c r="N15" s="10">
        <f>IF(E15="","",IF(COUNTIF($E$4:$E$130,E15)&gt;1,"Duplicate",""))</f>
        <v/>
      </c>
      <c r="O15" s="10" t="inlineStr"/>
      <c r="P15" s="10" t="inlineStr">
        <is>
          <t>Medium</t>
        </is>
      </c>
      <c r="Q15" s="10" t="inlineStr">
        <is>
          <t>Needs verification</t>
        </is>
      </c>
    </row>
    <row r="16">
      <c r="A16" s="10" t="n">
        <v>13</v>
      </c>
      <c r="B16" s="10" t="inlineStr">
        <is>
          <t>Zhu X, Das RS, Bhavya ML, Garcia-Vaquero M, Tiwari BK. (2024). Acoustic cavitation for agri-food applications: Mechanism of action, design of new systems, challenges and strategies for scale-up. Ultrasonics Sonochemistry, 105, 106850. https://doi.org/10.1016/j.ultsonch.2024.106850</t>
        </is>
      </c>
      <c r="C16" s="10" t="n">
        <v>2024</v>
      </c>
      <c r="D16" s="10" t="inlineStr">
        <is>
          <t>Acoustic cavitation for agri-food applications: Mechanism of action</t>
        </is>
      </c>
      <c r="E16" s="10" t="inlineStr">
        <is>
          <t>https://doi.org/10.1016/j.ultsonch.2024.106850</t>
        </is>
      </c>
      <c r="F16" s="10" t="inlineStr">
        <is>
          <t>Ultrasound reviews / mechanisms / scale-up</t>
        </is>
      </c>
      <c r="G16" s="10" t="inlineStr">
        <is>
          <t>Primary / research article</t>
        </is>
      </c>
      <c r="H16" s="10" t="inlineStr">
        <is>
          <t>Yes</t>
        </is>
      </c>
      <c r="I16" s="10" t="inlineStr">
        <is>
          <t>No</t>
        </is>
      </c>
      <c r="J16" s="10" t="inlineStr">
        <is>
          <t>No</t>
        </is>
      </c>
      <c r="K16" s="10" t="inlineStr">
        <is>
          <t>No</t>
        </is>
      </c>
      <c r="L16" s="10" t="inlineStr">
        <is>
          <t>No</t>
        </is>
      </c>
      <c r="M16" s="10" t="inlineStr"/>
      <c r="N16" s="10">
        <f>IF(E16="","",IF(COUNTIF($E$4:$E$130,E16)&gt;1,"Duplicate",""))</f>
        <v/>
      </c>
      <c r="O16" s="10" t="inlineStr"/>
      <c r="P16" s="10" t="inlineStr">
        <is>
          <t>Medium</t>
        </is>
      </c>
      <c r="Q16" s="10" t="inlineStr">
        <is>
          <t>Needs verification</t>
        </is>
      </c>
    </row>
    <row r="17">
      <c r="A17" s="10" t="n">
        <v>14</v>
      </c>
      <c r="B17" s="10" t="inlineStr">
        <is>
          <t>LU R, ABBOTT JA. (1996). FINITE ELEMENT ANALYSIS OF MODES OF VIBRATION IN APPLES. Journal of Texture Studies, 27(3), 265-286. https://doi.org/10.1111/j.1745-4603.1996.tb00075.x</t>
        </is>
      </c>
      <c r="C17" s="10" t="n">
        <v>1996</v>
      </c>
      <c r="D17" s="10" t="inlineStr">
        <is>
          <t>FINITE ELEMENT ANALYSIS OF MODES OF VIBRATION IN APPLES</t>
        </is>
      </c>
      <c r="E17" s="10" t="inlineStr">
        <is>
          <t>https://doi.org/10.1111/j.1745-4603.1996.tb00075.x</t>
        </is>
      </c>
      <c r="F17" s="10" t="inlineStr">
        <is>
          <t>Fruit mechanics / sensing / modal analysis</t>
        </is>
      </c>
      <c r="G17" s="10" t="inlineStr">
        <is>
          <t>Primary / research article</t>
        </is>
      </c>
      <c r="H17" s="10" t="inlineStr">
        <is>
          <t>No</t>
        </is>
      </c>
      <c r="I17" s="10" t="inlineStr">
        <is>
          <t>No</t>
        </is>
      </c>
      <c r="J17" s="10" t="inlineStr">
        <is>
          <t>No</t>
        </is>
      </c>
      <c r="K17" s="10" t="inlineStr">
        <is>
          <t>No</t>
        </is>
      </c>
      <c r="L17" s="10" t="inlineStr">
        <is>
          <t>No</t>
        </is>
      </c>
      <c r="M17" s="10" t="inlineStr"/>
      <c r="N17" s="10">
        <f>IF(E17="","",IF(COUNTIF($E$4:$E$130,E17)&gt;1,"Duplicate",""))</f>
        <v/>
      </c>
      <c r="O17" s="10" t="inlineStr"/>
      <c r="P17" s="10" t="inlineStr">
        <is>
          <t>Medium</t>
        </is>
      </c>
      <c r="Q17" s="10" t="inlineStr">
        <is>
          <t>Needs verification</t>
        </is>
      </c>
    </row>
    <row r="18">
      <c r="A18" s="10" t="n">
        <v>15</v>
      </c>
      <c r="B18" s="10" t="inlineStr">
        <is>
          <t>R. Lu, J. A. Abbott. (1997). FINITE ELEMENT MODELING OF TRANSIENT RESPONSES OF APPLES TO IMPULSE EXCITATION. Transactions of the ASAE, 40(5), 1395-1406. https://doi.org/10.13031/2013.21366</t>
        </is>
      </c>
      <c r="C18" s="10" t="n">
        <v>1997</v>
      </c>
      <c r="D18" s="10" t="inlineStr">
        <is>
          <t>A</t>
        </is>
      </c>
      <c r="E18" s="10" t="inlineStr">
        <is>
          <t>https://doi.org/10.13031/2013.21366</t>
        </is>
      </c>
      <c r="F18" s="10" t="inlineStr">
        <is>
          <t>Fruit mechanics / sensing / modal analysis</t>
        </is>
      </c>
      <c r="G18" s="10" t="inlineStr">
        <is>
          <t>Primary / research article</t>
        </is>
      </c>
      <c r="H18" s="10" t="inlineStr">
        <is>
          <t>No</t>
        </is>
      </c>
      <c r="I18" s="10" t="inlineStr">
        <is>
          <t>No</t>
        </is>
      </c>
      <c r="J18" s="10" t="inlineStr">
        <is>
          <t>No</t>
        </is>
      </c>
      <c r="K18" s="10" t="inlineStr">
        <is>
          <t>No</t>
        </is>
      </c>
      <c r="L18" s="10" t="inlineStr">
        <is>
          <t>No</t>
        </is>
      </c>
      <c r="M18" s="10" t="inlineStr"/>
      <c r="N18" s="10">
        <f>IF(E18="","",IF(COUNTIF($E$4:$E$130,E18)&gt;1,"Duplicate",""))</f>
        <v/>
      </c>
      <c r="O18" s="10" t="inlineStr"/>
      <c r="P18" s="10" t="inlineStr">
        <is>
          <t>Medium</t>
        </is>
      </c>
      <c r="Q18" s="10" t="inlineStr">
        <is>
          <t>Needs verification</t>
        </is>
      </c>
    </row>
    <row r="19">
      <c r="A19" s="10" t="n">
        <v>16</v>
      </c>
      <c r="B19" s="10" t="inlineStr">
        <is>
          <t>Nourain J, Ying YB, Wang JP, Rao XQ, Yu CG. (2005). Firmness evaluation of melon using its vibration characteristic and finite element analysis. Journal of Zhejiang University-SCIENCE B, 6(6), 483-490. https://doi.org/10.1631/jzus.2005.B0483</t>
        </is>
      </c>
      <c r="C19" s="10" t="n">
        <v>2005</v>
      </c>
      <c r="D19" s="10" t="inlineStr">
        <is>
          <t>Firmness evaluation of melon using its vibration characteristic and finite element analysis</t>
        </is>
      </c>
      <c r="E19" s="10" t="inlineStr">
        <is>
          <t>https://doi.org/10.1631/jzus.2005.B0483</t>
        </is>
      </c>
      <c r="F19" s="10" t="inlineStr">
        <is>
          <t>Fruit mechanics / sensing / modal analysis</t>
        </is>
      </c>
      <c r="G19" s="10" t="inlineStr">
        <is>
          <t>Primary / research article</t>
        </is>
      </c>
      <c r="H19" s="10" t="inlineStr">
        <is>
          <t>No</t>
        </is>
      </c>
      <c r="I19" s="10" t="inlineStr">
        <is>
          <t>No</t>
        </is>
      </c>
      <c r="J19" s="10" t="inlineStr">
        <is>
          <t>No</t>
        </is>
      </c>
      <c r="K19" s="10" t="inlineStr">
        <is>
          <t>No</t>
        </is>
      </c>
      <c r="L19" s="10" t="inlineStr">
        <is>
          <t>No</t>
        </is>
      </c>
      <c r="M19" s="10" t="inlineStr"/>
      <c r="N19" s="10">
        <f>IF(E19="","",IF(COUNTIF($E$4:$E$130,E19)&gt;1,"Duplicate",""))</f>
        <v/>
      </c>
      <c r="O19" s="10" t="inlineStr"/>
      <c r="P19" s="10" t="inlineStr">
        <is>
          <t>Medium</t>
        </is>
      </c>
      <c r="Q19" s="10" t="inlineStr">
        <is>
          <t>Needs verification</t>
        </is>
      </c>
    </row>
    <row r="20">
      <c r="A20" s="10" t="n">
        <v>17</v>
      </c>
      <c r="B20" s="10" t="inlineStr">
        <is>
          <t>H. Chen, J. De Baerdemaeker, V. Bellon. (1996). Finite Element Study of the Melon for Nondestructive Sensing of Firmness. Transactions of the ASAE, 39(3), 1057-1065. https://doi.org/10.13031/2013.27596</t>
        </is>
      </c>
      <c r="C20" s="10" t="n">
        <v>1996</v>
      </c>
      <c r="D20" s="10" t="inlineStr">
        <is>
          <t>De Baerdemaeker</t>
        </is>
      </c>
      <c r="E20" s="10" t="inlineStr">
        <is>
          <t>https://doi.org/10.13031/2013.27596</t>
        </is>
      </c>
      <c r="F20" s="10" t="inlineStr">
        <is>
          <t>Fruit mechanics / sensing / modal analysis</t>
        </is>
      </c>
      <c r="G20" s="10" t="inlineStr">
        <is>
          <t>Primary / research article</t>
        </is>
      </c>
      <c r="H20" s="10" t="inlineStr">
        <is>
          <t>No</t>
        </is>
      </c>
      <c r="I20" s="10" t="inlineStr">
        <is>
          <t>No</t>
        </is>
      </c>
      <c r="J20" s="10" t="inlineStr">
        <is>
          <t>No</t>
        </is>
      </c>
      <c r="K20" s="10" t="inlineStr">
        <is>
          <t>No</t>
        </is>
      </c>
      <c r="L20" s="10" t="inlineStr">
        <is>
          <t>No</t>
        </is>
      </c>
      <c r="M20" s="10" t="inlineStr"/>
      <c r="N20" s="10">
        <f>IF(E20="","",IF(COUNTIF($E$4:$E$130,E20)&gt;1,"Duplicate",""))</f>
        <v/>
      </c>
      <c r="O20" s="10" t="inlineStr"/>
      <c r="P20" s="10" t="inlineStr">
        <is>
          <t>Medium</t>
        </is>
      </c>
      <c r="Q20" s="10" t="inlineStr">
        <is>
          <t>Needs verification</t>
        </is>
      </c>
    </row>
    <row r="21">
      <c r="A21" s="10" t="n">
        <v>18</v>
      </c>
      <c r="B21" s="10" t="inlineStr">
        <is>
          <t>N. Galili, I. Shmulevich, N. Benichou. (1998). ACOUSTIC TESTING OF AVOCADO FOR FRUIT RIPENESS EVALUATION. Transactions of the ASAE, 41(2), 399-407. https://doi.org/10.13031/2013.17164</t>
        </is>
      </c>
      <c r="C21" s="10" t="n">
        <v>1998</v>
      </c>
      <c r="D21" s="10" t="inlineStr">
        <is>
          <t>Shmulevich</t>
        </is>
      </c>
      <c r="E21" s="10" t="inlineStr">
        <is>
          <t>https://doi.org/10.13031/2013.17164</t>
        </is>
      </c>
      <c r="F21" s="10" t="inlineStr">
        <is>
          <t>Fruit mechanics / sensing / modal analysis</t>
        </is>
      </c>
      <c r="G21" s="10" t="inlineStr">
        <is>
          <t>Primary / research article</t>
        </is>
      </c>
      <c r="H21" s="10" t="inlineStr">
        <is>
          <t>No</t>
        </is>
      </c>
      <c r="I21" s="10" t="inlineStr">
        <is>
          <t>No</t>
        </is>
      </c>
      <c r="J21" s="10" t="inlineStr">
        <is>
          <t>No</t>
        </is>
      </c>
      <c r="K21" s="10" t="inlineStr">
        <is>
          <t>No</t>
        </is>
      </c>
      <c r="L21" s="10" t="inlineStr">
        <is>
          <t>No</t>
        </is>
      </c>
      <c r="M21" s="10" t="inlineStr"/>
      <c r="N21" s="10">
        <f>IF(E21="","",IF(COUNTIF($E$4:$E$130,E21)&gt;1,"Duplicate",""))</f>
        <v/>
      </c>
      <c r="O21" s="10" t="inlineStr"/>
      <c r="P21" s="10" t="inlineStr">
        <is>
          <t>Medium</t>
        </is>
      </c>
      <c r="Q21" s="10" t="inlineStr">
        <is>
          <t>Needs verification</t>
        </is>
      </c>
    </row>
    <row r="22">
      <c r="A22" s="10" t="n">
        <v>19</v>
      </c>
      <c r="B22" s="10" t="inlineStr">
        <is>
          <t>A. Mizrach, N. Galili, G. Rosenhouse. (1989). Determination of Fruit and Vegetable Properties by Ultrasonic Excitation. Transactions of the ASAE, 32(6), 2053. https://doi.org/10.13031/2013.31262</t>
        </is>
      </c>
      <c r="C22" s="10" t="n">
        <v>1989</v>
      </c>
      <c r="D22" s="10" t="inlineStr">
        <is>
          <t>Galili</t>
        </is>
      </c>
      <c r="E22" s="10" t="inlineStr">
        <is>
          <t>https://doi.org/10.13031/2013.31262</t>
        </is>
      </c>
      <c r="F22" s="10" t="inlineStr">
        <is>
          <t>Fruit mechanics / sensing / modal analysis</t>
        </is>
      </c>
      <c r="G22" s="10" t="inlineStr">
        <is>
          <t>Primary / research article</t>
        </is>
      </c>
      <c r="H22" s="10" t="inlineStr">
        <is>
          <t>No</t>
        </is>
      </c>
      <c r="I22" s="10" t="inlineStr">
        <is>
          <t>No</t>
        </is>
      </c>
      <c r="J22" s="10" t="inlineStr">
        <is>
          <t>No</t>
        </is>
      </c>
      <c r="K22" s="10" t="inlineStr">
        <is>
          <t>No</t>
        </is>
      </c>
      <c r="L22" s="10" t="inlineStr">
        <is>
          <t>No</t>
        </is>
      </c>
      <c r="M22" s="10" t="inlineStr"/>
      <c r="N22" s="10">
        <f>IF(E22="","",IF(COUNTIF($E$4:$E$130,E22)&gt;1,"Duplicate",""))</f>
        <v/>
      </c>
      <c r="O22" s="10" t="inlineStr"/>
      <c r="P22" s="10" t="inlineStr">
        <is>
          <t>Medium</t>
        </is>
      </c>
      <c r="Q22" s="10" t="inlineStr">
        <is>
          <t>Needs verification</t>
        </is>
      </c>
    </row>
    <row r="23">
      <c r="A23" s="10" t="n">
        <v>20</v>
      </c>
      <c r="B23" s="10" t="inlineStr">
        <is>
          <t>Cui D, Gao Z, Zhang W, Ying Y. (2015). The use of a laser Doppler vibrometer to assess watermelon firmness. Computers and Electronics in Agriculture, 112, 116-120. https://doi.org/10.1016/j.compag.2014.11.012</t>
        </is>
      </c>
      <c r="C23" s="10" t="n">
        <v>2015</v>
      </c>
      <c r="D23" s="10" t="inlineStr">
        <is>
          <t>The use of a laser Doppler vibrometer to assess watermelon firmness</t>
        </is>
      </c>
      <c r="E23" s="10" t="inlineStr">
        <is>
          <t>https://doi.org/10.1016/j.compag.2014.11.012</t>
        </is>
      </c>
      <c r="F23" s="10" t="inlineStr">
        <is>
          <t>Fruit mechanics / sensing / modal analysis</t>
        </is>
      </c>
      <c r="G23" s="10" t="inlineStr">
        <is>
          <t>Primary / research article</t>
        </is>
      </c>
      <c r="H23" s="10" t="inlineStr">
        <is>
          <t>No</t>
        </is>
      </c>
      <c r="I23" s="10" t="inlineStr">
        <is>
          <t>No</t>
        </is>
      </c>
      <c r="J23" s="10" t="inlineStr">
        <is>
          <t>No</t>
        </is>
      </c>
      <c r="K23" s="10" t="inlineStr">
        <is>
          <t>No</t>
        </is>
      </c>
      <c r="L23" s="10" t="inlineStr">
        <is>
          <t>No</t>
        </is>
      </c>
      <c r="M23" s="10" t="inlineStr"/>
      <c r="N23" s="10">
        <f>IF(E23="","",IF(COUNTIF($E$4:$E$130,E23)&gt;1,"Duplicate",""))</f>
        <v/>
      </c>
      <c r="O23" s="10" t="inlineStr"/>
      <c r="P23" s="10" t="inlineStr">
        <is>
          <t>Medium</t>
        </is>
      </c>
      <c r="Q23" s="10" t="inlineStr">
        <is>
          <t>Needs verification</t>
        </is>
      </c>
    </row>
    <row r="24">
      <c r="A24" s="10" t="n">
        <v>21</v>
      </c>
      <c r="B24" s="10" t="inlineStr">
        <is>
          <t>Hiruta T, Hosoya N, Maeda S, Kajiwara I. (2021). Experimental evaluation of frequency response and firmness of apples based on an excitation technique using a dielectric elastomer actuator. Sensors and Actuators A: Physical, 330, 112830. https://doi.org/10.1016/j.sna.2021.112830</t>
        </is>
      </c>
      <c r="C24" s="10" t="n">
        <v>2021</v>
      </c>
      <c r="D24" s="10" t="inlineStr">
        <is>
          <t>Experimental evaluation of frequency response and firmness of apples based on an excitation technique using a dielectric elastomer actuator</t>
        </is>
      </c>
      <c r="E24" s="10" t="inlineStr">
        <is>
          <t>https://doi.org/10.1016/j.sna.2021.112830</t>
        </is>
      </c>
      <c r="F24" s="10" t="inlineStr">
        <is>
          <t>Fruit mechanics / sensing / modal analysis</t>
        </is>
      </c>
      <c r="G24" s="10" t="inlineStr">
        <is>
          <t>Primary / research article</t>
        </is>
      </c>
      <c r="H24" s="10" t="inlineStr">
        <is>
          <t>No</t>
        </is>
      </c>
      <c r="I24" s="10" t="inlineStr">
        <is>
          <t>No</t>
        </is>
      </c>
      <c r="J24" s="10" t="inlineStr">
        <is>
          <t>No</t>
        </is>
      </c>
      <c r="K24" s="10" t="inlineStr">
        <is>
          <t>No</t>
        </is>
      </c>
      <c r="L24" s="10" t="inlineStr">
        <is>
          <t>No</t>
        </is>
      </c>
      <c r="M24" s="10" t="inlineStr"/>
      <c r="N24" s="10">
        <f>IF(E24="","",IF(COUNTIF($E$4:$E$130,E24)&gt;1,"Duplicate",""))</f>
        <v/>
      </c>
      <c r="O24" s="10" t="inlineStr"/>
      <c r="P24" s="10" t="inlineStr">
        <is>
          <t>Medium</t>
        </is>
      </c>
      <c r="Q24" s="10" t="inlineStr">
        <is>
          <t>Needs verification</t>
        </is>
      </c>
    </row>
    <row r="25">
      <c r="A25" s="10" t="n">
        <v>22</v>
      </c>
      <c r="B25" s="10" t="inlineStr">
        <is>
          <t>Fathizadeh Z, Aboonajmi M, Hassan-Beygi SR. (2023). Apple Firmness Prediction During Shelf Life Using the Finite Element Method and Acoustic Vibration Response. Erwerbs-Obstbau, 65(6), 2197-2206. https://doi.org/10.1007/s10341-023-00952-2</t>
        </is>
      </c>
      <c r="C25" s="10" t="n">
        <v>2023</v>
      </c>
      <c r="D25" s="10" t="inlineStr">
        <is>
          <t>Apple Firmness Prediction During Shelf Life Using the Finite Element Method and Acoustic Vibration Response</t>
        </is>
      </c>
      <c r="E25" s="10" t="inlineStr">
        <is>
          <t>https://doi.org/10.1007/s10341-023-00952-2</t>
        </is>
      </c>
      <c r="F25" s="10" t="inlineStr">
        <is>
          <t>Fruit mechanics / sensing / modal analysis</t>
        </is>
      </c>
      <c r="G25" s="10" t="inlineStr">
        <is>
          <t>Primary / research article</t>
        </is>
      </c>
      <c r="H25" s="10" t="inlineStr">
        <is>
          <t>No</t>
        </is>
      </c>
      <c r="I25" s="10" t="inlineStr">
        <is>
          <t>No</t>
        </is>
      </c>
      <c r="J25" s="10" t="inlineStr">
        <is>
          <t>No</t>
        </is>
      </c>
      <c r="K25" s="10" t="inlineStr">
        <is>
          <t>No</t>
        </is>
      </c>
      <c r="L25" s="10" t="inlineStr">
        <is>
          <t>No</t>
        </is>
      </c>
      <c r="M25" s="10" t="inlineStr"/>
      <c r="N25" s="10">
        <f>IF(E25="","",IF(COUNTIF($E$4:$E$130,E25)&gt;1,"Duplicate",""))</f>
        <v/>
      </c>
      <c r="O25" s="10" t="inlineStr"/>
      <c r="P25" s="10" t="inlineStr">
        <is>
          <t>Medium</t>
        </is>
      </c>
      <c r="Q25" s="10" t="inlineStr">
        <is>
          <t>Needs verification</t>
        </is>
      </c>
    </row>
    <row r="26">
      <c r="A26" s="10" t="n">
        <v>23</v>
      </c>
      <c r="B26" s="10" t="inlineStr">
        <is>
          <t>Wang D, Hu Y, Xiong J, Ying Y, Yang C, Cui D. (2024). Laser Doppler vibrometer enables in-situ monitoring of peach firmness. Biosystems Engineering, 247, 191-201. https://doi.org/10.1016/j.biosystemseng.2024.09.013</t>
        </is>
      </c>
      <c r="C26" s="10" t="n">
        <v>2024</v>
      </c>
      <c r="D26" s="10" t="inlineStr">
        <is>
          <t>Laser Doppler vibrometer enables in-situ monitoring of peach firmness</t>
        </is>
      </c>
      <c r="E26" s="10" t="inlineStr">
        <is>
          <t>https://doi.org/10.1016/j.biosystemseng.2024.09.013</t>
        </is>
      </c>
      <c r="F26" s="10" t="inlineStr">
        <is>
          <t>Fruit mechanics / sensing / modal analysis</t>
        </is>
      </c>
      <c r="G26" s="10" t="inlineStr">
        <is>
          <t>Primary / research article</t>
        </is>
      </c>
      <c r="H26" s="10" t="inlineStr">
        <is>
          <t>Yes</t>
        </is>
      </c>
      <c r="I26" s="10" t="inlineStr">
        <is>
          <t>No</t>
        </is>
      </c>
      <c r="J26" s="10" t="inlineStr">
        <is>
          <t>No</t>
        </is>
      </c>
      <c r="K26" s="10" t="inlineStr">
        <is>
          <t>No</t>
        </is>
      </c>
      <c r="L26" s="10" t="inlineStr">
        <is>
          <t>No</t>
        </is>
      </c>
      <c r="M26" s="10" t="inlineStr"/>
      <c r="N26" s="10">
        <f>IF(E26="","",IF(COUNTIF($E$4:$E$130,E26)&gt;1,"Duplicate",""))</f>
        <v/>
      </c>
      <c r="O26" s="10" t="inlineStr"/>
      <c r="P26" s="10" t="inlineStr">
        <is>
          <t>Medium</t>
        </is>
      </c>
      <c r="Q26" s="10" t="inlineStr">
        <is>
          <t>Needs verification</t>
        </is>
      </c>
    </row>
    <row r="27">
      <c r="A27" s="10" t="n">
        <v>24</v>
      </c>
      <c r="B27" s="10" t="inlineStr">
        <is>
          <t>Wang H, Wang F, Deng J, Ma S, Wang M. (2026). Modal analysis and frequency sweep test of tomato based on finite element method. Journal of Food Measurement and Characterization, 20(1), 541-550. https://doi.org/10.1007/s11694-025-03737-1</t>
        </is>
      </c>
      <c r="C27" s="10" t="n">
        <v>2026</v>
      </c>
      <c r="D27" s="10" t="inlineStr">
        <is>
          <t>Modal analysis and frequency sweep test of tomato based on finite element method</t>
        </is>
      </c>
      <c r="E27" s="10" t="inlineStr">
        <is>
          <t>https://doi.org/10.1007/s11694-025-03737-1</t>
        </is>
      </c>
      <c r="F27" s="10" t="inlineStr">
        <is>
          <t>Fruit mechanics / sensing / modal analysis</t>
        </is>
      </c>
      <c r="G27" s="10" t="inlineStr">
        <is>
          <t>Primary / research article</t>
        </is>
      </c>
      <c r="H27" s="10" t="inlineStr">
        <is>
          <t>Yes</t>
        </is>
      </c>
      <c r="I27" s="10" t="inlineStr">
        <is>
          <t>No</t>
        </is>
      </c>
      <c r="J27" s="10" t="inlineStr">
        <is>
          <t>No</t>
        </is>
      </c>
      <c r="K27" s="10" t="inlineStr">
        <is>
          <t>No</t>
        </is>
      </c>
      <c r="L27" s="10" t="inlineStr">
        <is>
          <t>No</t>
        </is>
      </c>
      <c r="M27" s="10" t="inlineStr"/>
      <c r="N27" s="10">
        <f>IF(E27="","",IF(COUNTIF($E$4:$E$130,E27)&gt;1,"Duplicate",""))</f>
        <v/>
      </c>
      <c r="O27" s="10" t="inlineStr"/>
      <c r="P27" s="10" t="inlineStr">
        <is>
          <t>Medium</t>
        </is>
      </c>
      <c r="Q27" s="10" t="inlineStr">
        <is>
          <t>Needs verification</t>
        </is>
      </c>
    </row>
    <row r="28">
      <c r="A28" s="10" t="n">
        <v>25</v>
      </c>
      <c r="B28" s="10" t="inlineStr">
        <is>
          <t>Wang R, Kong X, Zhang B, Fan Q, Wang D, Cui D. (2025). Non-destructive Prediction of Apple Firmness by Acoustic-Vibrational Signal Ridge Regression Analysis. Applied Fruit Science, 67(5), 318. https://doi.org/10.1007/s10341-025-01537-x</t>
        </is>
      </c>
      <c r="C28" s="10" t="n">
        <v>2025</v>
      </c>
      <c r="D28" s="10" t="inlineStr">
        <is>
          <t>Non-destructive Prediction of Apple Firmness by Acoustic-Vibrational Signal Ridge Regression Analysis</t>
        </is>
      </c>
      <c r="E28" s="10" t="inlineStr">
        <is>
          <t>https://doi.org/10.1007/s10341-025-01537-x</t>
        </is>
      </c>
      <c r="F28" s="10" t="inlineStr">
        <is>
          <t>Fruit mechanics / sensing / modal analysis</t>
        </is>
      </c>
      <c r="G28" s="10" t="inlineStr">
        <is>
          <t>Primary / research article</t>
        </is>
      </c>
      <c r="H28" s="10" t="inlineStr">
        <is>
          <t>Yes</t>
        </is>
      </c>
      <c r="I28" s="10" t="inlineStr">
        <is>
          <t>No</t>
        </is>
      </c>
      <c r="J28" s="10" t="inlineStr">
        <is>
          <t>No</t>
        </is>
      </c>
      <c r="K28" s="10" t="inlineStr">
        <is>
          <t>No</t>
        </is>
      </c>
      <c r="L28" s="10" t="inlineStr">
        <is>
          <t>No</t>
        </is>
      </c>
      <c r="M28" s="10" t="inlineStr"/>
      <c r="N28" s="10">
        <f>IF(E28="","",IF(COUNTIF($E$4:$E$130,E28)&gt;1,"Duplicate",""))</f>
        <v/>
      </c>
      <c r="O28" s="10" t="inlineStr"/>
      <c r="P28" s="10" t="inlineStr">
        <is>
          <t>Medium</t>
        </is>
      </c>
      <c r="Q28" s="10" t="inlineStr">
        <is>
          <t>Needs verification</t>
        </is>
      </c>
    </row>
    <row r="29">
      <c r="A29" s="10" t="n">
        <v>26</v>
      </c>
      <c r="B29" s="10" t="inlineStr">
        <is>
          <t>Kim JY, Lee JS, Kwon TR, Lee SI, Kim JA, Lee GM, et al. (2015). Sound waves delay tomato fruit ripening by negatively regulating ethylene biosynthesis and signaling genes. Postharvest Biology and Technology, 110, 43-50. https://doi.org/10.1016/j.postharvbio.2015.07.015</t>
        </is>
      </c>
      <c r="C29" s="10" t="n">
        <v>2015</v>
      </c>
      <c r="D29" s="10" t="inlineStr">
        <is>
          <t>Sound waves delay tomato fruit ripening by negatively regulating ethylene biosynthesis and signaling genes</t>
        </is>
      </c>
      <c r="E29" s="10" t="inlineStr">
        <is>
          <t>https://doi.org/10.1016/j.postharvbio.2015.07.015</t>
        </is>
      </c>
      <c r="F29" s="10" t="inlineStr">
        <is>
          <t>Detached-tomato airborne lineage</t>
        </is>
      </c>
      <c r="G29" s="10" t="inlineStr">
        <is>
          <t>Primary / research article</t>
        </is>
      </c>
      <c r="H29" s="10" t="inlineStr">
        <is>
          <t>No</t>
        </is>
      </c>
      <c r="I29" s="10" t="inlineStr">
        <is>
          <t>No</t>
        </is>
      </c>
      <c r="J29" s="10" t="inlineStr">
        <is>
          <t>No</t>
        </is>
      </c>
      <c r="K29" s="10" t="inlineStr">
        <is>
          <t>No</t>
        </is>
      </c>
      <c r="L29" s="10" t="inlineStr">
        <is>
          <t>No</t>
        </is>
      </c>
      <c r="M29" s="10" t="inlineStr"/>
      <c r="N29" s="10">
        <f>IF(E29="","",IF(COUNTIF($E$4:$E$130,E29)&gt;1,"Duplicate",""))</f>
        <v/>
      </c>
      <c r="O29" s="10" t="inlineStr"/>
      <c r="P29" s="10" t="inlineStr">
        <is>
          <t>High</t>
        </is>
      </c>
      <c r="Q29" s="10" t="inlineStr">
        <is>
          <t>Needs verification</t>
        </is>
      </c>
    </row>
    <row r="30">
      <c r="A30" s="10" t="n">
        <v>27</v>
      </c>
      <c r="B30" s="10" t="inlineStr">
        <is>
          <t>Kim JY, Ahn HR, Kim ST, Min CW, Lee SI, Kim JA, et al. (2016). Sound wave affects the expression of ethylene biosynthesis-related genes through control of transcription factors RIN and HB-1. Plant Biotechnology Reports, 10(6), 437-445. https://doi.org/10.1007/s11816-016-0419-2</t>
        </is>
      </c>
      <c r="C30" s="10" t="n">
        <v>2016</v>
      </c>
      <c r="D30" s="10" t="inlineStr">
        <is>
          <t>Sound wave affects the expression of ethylene biosynthesis-related genes through control of transcription factors RIN and HB-1</t>
        </is>
      </c>
      <c r="E30" s="10" t="inlineStr">
        <is>
          <t>https://doi.org/10.1007/s11816-016-0419-2</t>
        </is>
      </c>
      <c r="F30" s="10" t="inlineStr">
        <is>
          <t>Detached-tomato airborne lineage</t>
        </is>
      </c>
      <c r="G30" s="10" t="inlineStr">
        <is>
          <t>Primary / research article</t>
        </is>
      </c>
      <c r="H30" s="10" t="inlineStr">
        <is>
          <t>No</t>
        </is>
      </c>
      <c r="I30" s="10" t="inlineStr">
        <is>
          <t>No</t>
        </is>
      </c>
      <c r="J30" s="10" t="inlineStr">
        <is>
          <t>No</t>
        </is>
      </c>
      <c r="K30" s="10" t="inlineStr">
        <is>
          <t>No</t>
        </is>
      </c>
      <c r="L30" s="10" t="inlineStr">
        <is>
          <t>No</t>
        </is>
      </c>
      <c r="M30" s="10" t="inlineStr"/>
      <c r="N30" s="10">
        <f>IF(E30="","",IF(COUNTIF($E$4:$E$130,E30)&gt;1,"Duplicate",""))</f>
        <v/>
      </c>
      <c r="O30" s="10" t="inlineStr"/>
      <c r="P30" s="10" t="inlineStr">
        <is>
          <t>High</t>
        </is>
      </c>
      <c r="Q30" s="10" t="inlineStr">
        <is>
          <t>Needs verification</t>
        </is>
      </c>
    </row>
    <row r="31">
      <c r="A31" s="10" t="n">
        <v>28</v>
      </c>
      <c r="B31" s="10" t="inlineStr">
        <is>
          <t>Kim JY, Kim SK, Jung J, Jeong MJ, Ryu CM. (2018). Exploring the sound-modulated delay in tomato ripening through expression analysis of coding and non-coding RNAs. Annals of Botany. https://doi.org/10.1093/aob/mcy134</t>
        </is>
      </c>
      <c r="C31" s="10" t="n">
        <v>2018</v>
      </c>
      <c r="D31" s="10" t="inlineStr">
        <is>
          <t>Exploring the sound-modulated delay in tomato ripening through expression analysis of coding and non-coding RNAs</t>
        </is>
      </c>
      <c r="E31" s="10" t="inlineStr">
        <is>
          <t>https://doi.org/10.1093/aob/mcy134</t>
        </is>
      </c>
      <c r="F31" s="10" t="inlineStr">
        <is>
          <t>Detached-tomato airborne lineage</t>
        </is>
      </c>
      <c r="G31" s="10" t="inlineStr">
        <is>
          <t>Primary / research article</t>
        </is>
      </c>
      <c r="H31" s="10" t="inlineStr">
        <is>
          <t>No</t>
        </is>
      </c>
      <c r="I31" s="10" t="inlineStr">
        <is>
          <t>No</t>
        </is>
      </c>
      <c r="J31" s="10" t="inlineStr">
        <is>
          <t>No</t>
        </is>
      </c>
      <c r="K31" s="10" t="inlineStr">
        <is>
          <t>No</t>
        </is>
      </c>
      <c r="L31" s="10" t="inlineStr">
        <is>
          <t>No</t>
        </is>
      </c>
      <c r="M31" s="10" t="inlineStr"/>
      <c r="N31" s="10">
        <f>IF(E31="","",IF(COUNTIF($E$4:$E$130,E31)&gt;1,"Duplicate",""))</f>
        <v/>
      </c>
      <c r="O31" s="10" t="inlineStr"/>
      <c r="P31" s="10" t="inlineStr">
        <is>
          <t>High</t>
        </is>
      </c>
      <c r="Q31" s="10" t="inlineStr">
        <is>
          <t>Needs verification</t>
        </is>
      </c>
    </row>
    <row r="32">
      <c r="A32" s="10" t="n">
        <v>29</v>
      </c>
      <c r="B32" s="10" t="inlineStr">
        <is>
          <t>Kim JY, Lee HJ, Jeong MJ. (2023). Epigenetic regulation for delaying tomato fruit ripening through histone modification by specific sound wave treatment. Postharvest Biology and Technology, 197, 112211. https://doi.org/10.1016/j.postharvbio.2022.112211</t>
        </is>
      </c>
      <c r="C32" s="10" t="n">
        <v>2023</v>
      </c>
      <c r="D32" s="10" t="inlineStr">
        <is>
          <t>Epigenetic regulation for delaying tomato fruit ripening through histone modification by specific sound wave treatment</t>
        </is>
      </c>
      <c r="E32" s="10" t="inlineStr">
        <is>
          <t>https://doi.org/10.1016/j.postharvbio.2022.112211</t>
        </is>
      </c>
      <c r="F32" s="10" t="inlineStr">
        <is>
          <t>Detached-tomato airborne lineage</t>
        </is>
      </c>
      <c r="G32" s="10" t="inlineStr">
        <is>
          <t>Primary / research article</t>
        </is>
      </c>
      <c r="H32" s="10" t="inlineStr">
        <is>
          <t>No</t>
        </is>
      </c>
      <c r="I32" s="10" t="inlineStr">
        <is>
          <t>No</t>
        </is>
      </c>
      <c r="J32" s="10" t="inlineStr">
        <is>
          <t>No</t>
        </is>
      </c>
      <c r="K32" s="10" t="inlineStr">
        <is>
          <t>No</t>
        </is>
      </c>
      <c r="L32" s="10" t="inlineStr">
        <is>
          <t>No</t>
        </is>
      </c>
      <c r="M32" s="10" t="inlineStr"/>
      <c r="N32" s="10">
        <f>IF(E32="","",IF(COUNTIF($E$4:$E$130,E32)&gt;1,"Duplicate",""))</f>
        <v/>
      </c>
      <c r="O32" s="10" t="inlineStr"/>
      <c r="P32" s="10" t="inlineStr">
        <is>
          <t>High</t>
        </is>
      </c>
      <c r="Q32" s="10" t="inlineStr">
        <is>
          <t>Needs verification</t>
        </is>
      </c>
    </row>
    <row r="33">
      <c r="A33" s="10" t="n">
        <v>30</v>
      </c>
      <c r="B33" s="10" t="inlineStr">
        <is>
          <t>Jeong MJ, Ko BJ, Kim JY. (2023). Mass spectrometry-based metabolomics study for delay tomato fruit ripening by sound waves. Journal of Analytical Science and Technology, 14(1), 27. https://doi.org/10.1186/s40543-023-00384-3</t>
        </is>
      </c>
      <c r="C33" s="10" t="n">
        <v>2023</v>
      </c>
      <c r="D33" s="10" t="inlineStr">
        <is>
          <t>Mass spectrometry-based metabolomics study for delay tomato fruit ripening by sound waves</t>
        </is>
      </c>
      <c r="E33" s="10" t="inlineStr">
        <is>
          <t>https://doi.org/10.1186/s40543-023-00384-3</t>
        </is>
      </c>
      <c r="F33" s="10" t="inlineStr">
        <is>
          <t>Detached-tomato airborne lineage</t>
        </is>
      </c>
      <c r="G33" s="10" t="inlineStr">
        <is>
          <t>Primary / research article</t>
        </is>
      </c>
      <c r="H33" s="10" t="inlineStr">
        <is>
          <t>No</t>
        </is>
      </c>
      <c r="I33" s="10" t="inlineStr">
        <is>
          <t>No</t>
        </is>
      </c>
      <c r="J33" s="10" t="inlineStr">
        <is>
          <t>No</t>
        </is>
      </c>
      <c r="K33" s="10" t="inlineStr">
        <is>
          <t>No</t>
        </is>
      </c>
      <c r="L33" s="10" t="inlineStr">
        <is>
          <t>No</t>
        </is>
      </c>
      <c r="M33" s="10" t="inlineStr"/>
      <c r="N33" s="10">
        <f>IF(E33="","",IF(COUNTIF($E$4:$E$130,E33)&gt;1,"Duplicate",""))</f>
        <v/>
      </c>
      <c r="O33" s="10" t="inlineStr"/>
      <c r="P33" s="10" t="inlineStr">
        <is>
          <t>High</t>
        </is>
      </c>
      <c r="Q33" s="10" t="inlineStr">
        <is>
          <t>Needs verification</t>
        </is>
      </c>
    </row>
    <row r="34">
      <c r="A34" s="10" t="n">
        <v>31</v>
      </c>
      <c r="B34" s="10" t="inlineStr">
        <is>
          <t>ONO S, YASUTAKE D, YOKOYAMA G, TERUYA Y, HIDAKA K, OKAYASU T, et al. (2022). Closed Chamber System for Easily Measuring the Respiration Rate of Intact Fruits. Environment Control in Biology, 60(1), 33-37. https://doi.org/10.2525/ecb.60.33</t>
        </is>
      </c>
      <c r="C34" s="10" t="n">
        <v>2022</v>
      </c>
      <c r="D34" s="10" t="inlineStr">
        <is>
          <t>Closed Chamber System for Easily Measuring the Respiration Rate of Intact Fruits</t>
        </is>
      </c>
      <c r="E34" s="10" t="inlineStr">
        <is>
          <t>https://doi.org/10.2525/ecb.60.33</t>
        </is>
      </c>
      <c r="F34" s="10" t="inlineStr">
        <is>
          <t>Respiration measurement method</t>
        </is>
      </c>
      <c r="G34" s="10" t="inlineStr">
        <is>
          <t>Primary / research article</t>
        </is>
      </c>
      <c r="H34" s="10" t="inlineStr">
        <is>
          <t>No</t>
        </is>
      </c>
      <c r="I34" s="10" t="inlineStr">
        <is>
          <t>No</t>
        </is>
      </c>
      <c r="J34" s="10" t="inlineStr">
        <is>
          <t>No</t>
        </is>
      </c>
      <c r="K34" s="10" t="inlineStr">
        <is>
          <t>No</t>
        </is>
      </c>
      <c r="L34" s="10" t="inlineStr">
        <is>
          <t>No</t>
        </is>
      </c>
      <c r="M34" s="10" t="inlineStr"/>
      <c r="N34" s="10">
        <f>IF(E34="","",IF(COUNTIF($E$4:$E$130,E34)&gt;1,"Duplicate",""))</f>
        <v/>
      </c>
      <c r="O34" s="10" t="inlineStr"/>
      <c r="P34" s="10" t="inlineStr">
        <is>
          <t>High</t>
        </is>
      </c>
      <c r="Q34" s="10" t="inlineStr">
        <is>
          <t>Needs verification</t>
        </is>
      </c>
    </row>
    <row r="35">
      <c r="A35" s="10" t="n">
        <v>32</v>
      </c>
      <c r="B35" s="10" t="inlineStr">
        <is>
          <t>Ozkurt H, Altuntas O. (2018). Quality Parameter Levels of Strawberry Fruit in Response to Different Sound Waves at 1000 Hz with Different dB Values (95, 100, 105 dB). Agronomy, 8(7), 127. https://doi.org/10.3390/agronomy8070127</t>
        </is>
      </c>
      <c r="C35" s="10" t="n">
        <v>2018</v>
      </c>
      <c r="D35" s="10" t="inlineStr">
        <is>
          <t>Quality Parameter Levels of Strawberry Fruit in Response to Different Sound Waves at 1000 Hz with Different dB Values (95</t>
        </is>
      </c>
      <c r="E35" s="10" t="inlineStr">
        <is>
          <t>https://doi.org/10.3390/agronomy8070127</t>
        </is>
      </c>
      <c r="F35" s="10" t="inlineStr">
        <is>
          <t>Living-plant sound exposure</t>
        </is>
      </c>
      <c r="G35" s="10" t="inlineStr">
        <is>
          <t>Primary / research article</t>
        </is>
      </c>
      <c r="H35" s="10" t="inlineStr">
        <is>
          <t>No</t>
        </is>
      </c>
      <c r="I35" s="10" t="inlineStr">
        <is>
          <t>No</t>
        </is>
      </c>
      <c r="J35" s="10" t="inlineStr">
        <is>
          <t>No</t>
        </is>
      </c>
      <c r="K35" s="10" t="inlineStr">
        <is>
          <t>No</t>
        </is>
      </c>
      <c r="L35" s="10" t="inlineStr">
        <is>
          <t>No</t>
        </is>
      </c>
      <c r="M35" s="10" t="inlineStr"/>
      <c r="N35" s="10">
        <f>IF(E35="","",IF(COUNTIF($E$4:$E$130,E35)&gt;1,"Duplicate",""))</f>
        <v/>
      </c>
      <c r="O35" s="10" t="inlineStr"/>
      <c r="P35" s="10" t="inlineStr">
        <is>
          <t>High</t>
        </is>
      </c>
      <c r="Q35" s="10" t="inlineStr">
        <is>
          <t>Needs verification</t>
        </is>
      </c>
    </row>
    <row r="36">
      <c r="A36" s="10" t="n">
        <v>33</v>
      </c>
      <c r="B36" s="10" t="inlineStr">
        <is>
          <t>Altuntas O, Ozkurt H. (2019). The assessment of tomato fruit quality parameters under different sound waves. Journal of Food Science and Technology, 56(4), 2186-2194. https://doi.org/10.1007/s13197-019-03701-0</t>
        </is>
      </c>
      <c r="C36" s="10" t="n">
        <v>2019</v>
      </c>
      <c r="D36" s="10" t="inlineStr">
        <is>
          <t>The assessment of tomato fruit quality parameters under different sound waves</t>
        </is>
      </c>
      <c r="E36" s="10" t="inlineStr">
        <is>
          <t>https://doi.org/10.1007/s13197-019-03701-0</t>
        </is>
      </c>
      <c r="F36" s="10" t="inlineStr">
        <is>
          <t>Living-plant sound exposure</t>
        </is>
      </c>
      <c r="G36" s="10" t="inlineStr">
        <is>
          <t>Primary / research article</t>
        </is>
      </c>
      <c r="H36" s="10" t="inlineStr">
        <is>
          <t>No</t>
        </is>
      </c>
      <c r="I36" s="10" t="inlineStr">
        <is>
          <t>No</t>
        </is>
      </c>
      <c r="J36" s="10" t="inlineStr">
        <is>
          <t>No</t>
        </is>
      </c>
      <c r="K36" s="10" t="inlineStr">
        <is>
          <t>No</t>
        </is>
      </c>
      <c r="L36" s="10" t="inlineStr">
        <is>
          <t>No</t>
        </is>
      </c>
      <c r="M36" s="10" t="inlineStr"/>
      <c r="N36" s="10">
        <f>IF(E36="","",IF(COUNTIF($E$4:$E$130,E36)&gt;1,"Duplicate",""))</f>
        <v/>
      </c>
      <c r="O36" s="10" t="inlineStr"/>
      <c r="P36" s="10" t="inlineStr">
        <is>
          <t>High</t>
        </is>
      </c>
      <c r="Q36" s="10" t="inlineStr">
        <is>
          <t>Needs verification</t>
        </is>
      </c>
    </row>
    <row r="37">
      <c r="A37" s="10" t="n">
        <v>34</v>
      </c>
      <c r="B37" s="10" t="inlineStr">
        <is>
          <t>Veits M, Khait I, Obolski U, Zinger E, Boonman A, Goldshtein A, et al. (2019). Flowers respond to pollinator sound within minutes by increasing nectar sugar concentration. Ecology Letters, 22(9), 1483-1492. https://doi.org/10.1111/ele.13331</t>
        </is>
      </c>
      <c r="C37" s="10" t="n">
        <v>2019</v>
      </c>
      <c r="D37" s="10" t="inlineStr">
        <is>
          <t>Flowers respond to pollinator sound within minutes by increasing nectar sugar concentration</t>
        </is>
      </c>
      <c r="E37" s="10" t="inlineStr">
        <is>
          <t>https://doi.org/10.1111/ele.13331</t>
        </is>
      </c>
      <c r="F37" s="10" t="inlineStr">
        <is>
          <t>Flower / plant acoustic response</t>
        </is>
      </c>
      <c r="G37" s="10" t="inlineStr">
        <is>
          <t>Primary / research article</t>
        </is>
      </c>
      <c r="H37" s="10" t="inlineStr">
        <is>
          <t>No</t>
        </is>
      </c>
      <c r="I37" s="10" t="inlineStr">
        <is>
          <t>No</t>
        </is>
      </c>
      <c r="J37" s="10" t="inlineStr">
        <is>
          <t>No</t>
        </is>
      </c>
      <c r="K37" s="10" t="inlineStr">
        <is>
          <t>No</t>
        </is>
      </c>
      <c r="L37" s="10" t="inlineStr">
        <is>
          <t>No</t>
        </is>
      </c>
      <c r="M37" s="10" t="inlineStr"/>
      <c r="N37" s="10">
        <f>IF(E37="","",IF(COUNTIF($E$4:$E$130,E37)&gt;1,"Duplicate",""))</f>
        <v/>
      </c>
      <c r="O37" s="10" t="inlineStr"/>
      <c r="P37" s="10" t="inlineStr">
        <is>
          <t>Medium</t>
        </is>
      </c>
      <c r="Q37" s="10" t="inlineStr">
        <is>
          <t>Needs verification</t>
        </is>
      </c>
    </row>
    <row r="38">
      <c r="A38" s="10" t="n">
        <v>35</v>
      </c>
      <c r="B38" s="10" t="inlineStr">
        <is>
          <t>Pyke GH, Ren ZX, Trunschke J, Lunau K, Wang H. (2020). Changes in floral nectar are unlikely adaptive responses to pollinator flight sound. Ecology Letters, 23(9), 1421-1422. https://doi.org/10.1111/ele.13403</t>
        </is>
      </c>
      <c r="C38" s="10" t="n">
        <v>2020</v>
      </c>
      <c r="D38" s="10" t="inlineStr">
        <is>
          <t>Changes in floral nectar are unlikely adaptive responses to pollinator flight sound</t>
        </is>
      </c>
      <c r="E38" s="10" t="inlineStr">
        <is>
          <t>https://doi.org/10.1111/ele.13403</t>
        </is>
      </c>
      <c r="F38" s="10" t="inlineStr">
        <is>
          <t>Flower / plant acoustic response</t>
        </is>
      </c>
      <c r="G38" s="10" t="inlineStr">
        <is>
          <t>Primary / research article</t>
        </is>
      </c>
      <c r="H38" s="10" t="inlineStr">
        <is>
          <t>No</t>
        </is>
      </c>
      <c r="I38" s="10" t="inlineStr">
        <is>
          <t>No</t>
        </is>
      </c>
      <c r="J38" s="10" t="inlineStr">
        <is>
          <t>No</t>
        </is>
      </c>
      <c r="K38" s="10" t="inlineStr">
        <is>
          <t>No</t>
        </is>
      </c>
      <c r="L38" s="10" t="inlineStr">
        <is>
          <t>No</t>
        </is>
      </c>
      <c r="M38" s="10" t="inlineStr"/>
      <c r="N38" s="10">
        <f>IF(E38="","",IF(COUNTIF($E$4:$E$130,E38)&gt;1,"Duplicate",""))</f>
        <v/>
      </c>
      <c r="O38" s="10" t="inlineStr"/>
      <c r="P38" s="10" t="inlineStr">
        <is>
          <t>Medium</t>
        </is>
      </c>
      <c r="Q38" s="10" t="inlineStr">
        <is>
          <t>Needs verification</t>
        </is>
      </c>
    </row>
    <row r="39">
      <c r="A39" s="10" t="n">
        <v>36</v>
      </c>
      <c r="B39" s="10" t="inlineStr">
        <is>
          <t>Goldshtein A, Veits M, Khait I, Saban K, Sapir Y, Yovel Y, et al. (2020). Plants’ ability to sense and respond to airborne sound is likely to be adaptive: reply to comment by Pyke et al. Ecology Letters, 23(9), 1423-1425. https://doi.org/10.1111/ele.13514</t>
        </is>
      </c>
      <c r="C39" s="10" t="n">
        <v>2020</v>
      </c>
      <c r="D39" s="10" t="inlineStr">
        <is>
          <t>Plants’ ability to sense and respond to airborne sound is likely to be adaptive: reply to comment by Pyke et al</t>
        </is>
      </c>
      <c r="E39" s="10" t="inlineStr">
        <is>
          <t>https://doi.org/10.1111/ele.13514</t>
        </is>
      </c>
      <c r="F39" s="10" t="inlineStr">
        <is>
          <t>Flower / plant acoustic response</t>
        </is>
      </c>
      <c r="G39" s="10" t="inlineStr">
        <is>
          <t>Primary / research article</t>
        </is>
      </c>
      <c r="H39" s="10" t="inlineStr">
        <is>
          <t>No</t>
        </is>
      </c>
      <c r="I39" s="10" t="inlineStr">
        <is>
          <t>No</t>
        </is>
      </c>
      <c r="J39" s="10" t="inlineStr">
        <is>
          <t>No</t>
        </is>
      </c>
      <c r="K39" s="10" t="inlineStr">
        <is>
          <t>No</t>
        </is>
      </c>
      <c r="L39" s="10" t="inlineStr">
        <is>
          <t>No</t>
        </is>
      </c>
      <c r="M39" s="10" t="inlineStr"/>
      <c r="N39" s="10">
        <f>IF(E39="","",IF(COUNTIF($E$4:$E$130,E39)&gt;1,"Duplicate",""))</f>
        <v/>
      </c>
      <c r="O39" s="10" t="inlineStr"/>
      <c r="P39" s="10" t="inlineStr">
        <is>
          <t>Medium</t>
        </is>
      </c>
      <c r="Q39" s="10" t="inlineStr">
        <is>
          <t>Needs verification</t>
        </is>
      </c>
    </row>
    <row r="40">
      <c r="A40" s="10" t="n">
        <v>37</v>
      </c>
      <c r="B40" s="10" t="inlineStr">
        <is>
          <t>Anwar S, Happy H, Dingley A, Vinoth T, Liang W, Sindel BM, et al. (2025). Sonic-induced cellular vibrations unzip intertwined anther cone trichomes to trigger floral self-pollination and boost tomato fruit size. Horticulture Research, uhaf053. https://doi.org/10.1093/hr/uhaf053</t>
        </is>
      </c>
      <c r="C40" s="10" t="n">
        <v>2025</v>
      </c>
      <c r="D40" s="10" t="inlineStr">
        <is>
          <t>Sonic-induced cellular vibrations unzip intertwined anther cone trichomes to trigger floral self-pollination and boost tomato fruit size</t>
        </is>
      </c>
      <c r="E40" s="10" t="inlineStr">
        <is>
          <t>https://doi.org/10.1093/hr/uhaf053</t>
        </is>
      </c>
      <c r="F40" s="10" t="inlineStr">
        <is>
          <t>Flower / plant acoustic response</t>
        </is>
      </c>
      <c r="G40" s="10" t="inlineStr">
        <is>
          <t>Primary / research article</t>
        </is>
      </c>
      <c r="H40" s="10" t="inlineStr">
        <is>
          <t>Yes</t>
        </is>
      </c>
      <c r="I40" s="10" t="inlineStr">
        <is>
          <t>No</t>
        </is>
      </c>
      <c r="J40" s="10" t="inlineStr">
        <is>
          <t>No</t>
        </is>
      </c>
      <c r="K40" s="10" t="inlineStr">
        <is>
          <t>No</t>
        </is>
      </c>
      <c r="L40" s="10" t="inlineStr">
        <is>
          <t>No</t>
        </is>
      </c>
      <c r="M40" s="10" t="inlineStr"/>
      <c r="N40" s="10">
        <f>IF(E40="","",IF(COUNTIF($E$4:$E$130,E40)&gt;1,"Duplicate",""))</f>
        <v/>
      </c>
      <c r="O40" s="10" t="inlineStr"/>
      <c r="P40" s="10" t="inlineStr">
        <is>
          <t>Medium</t>
        </is>
      </c>
      <c r="Q40" s="10" t="inlineStr">
        <is>
          <t>Needs verification</t>
        </is>
      </c>
    </row>
    <row r="41">
      <c r="A41" s="10" t="n">
        <v>38</v>
      </c>
      <c r="B41" s="10" t="inlineStr">
        <is>
          <t>Nakamura N, Umehara H, Okadome H, Nakano K, Maezawa S, Shiina T. (2007). Effects of vibration frequency and direction on damage of strawberries. Journal of the Society of Agricultural Structures Japan, 38(2), 101–108. https://doi.org/10.11449/sasj1971.38.101</t>
        </is>
      </c>
      <c r="C41" s="10" t="n">
        <v>2007</v>
      </c>
      <c r="D41" s="10" t="inlineStr">
        <is>
          <t>Effects of vibration frequency and direction on damage of strawberries</t>
        </is>
      </c>
      <c r="E41" s="10" t="inlineStr">
        <is>
          <t>https://doi.org/10.11449/sasj1971.38.101</t>
        </is>
      </c>
      <c r="F41" s="10" t="inlineStr">
        <is>
          <t>Transport vibration / damage</t>
        </is>
      </c>
      <c r="G41" s="10" t="inlineStr">
        <is>
          <t>Primary / research article</t>
        </is>
      </c>
      <c r="H41" s="10" t="inlineStr">
        <is>
          <t>No</t>
        </is>
      </c>
      <c r="I41" s="10" t="inlineStr">
        <is>
          <t>No</t>
        </is>
      </c>
      <c r="J41" s="10" t="inlineStr">
        <is>
          <t>No</t>
        </is>
      </c>
      <c r="K41" s="10" t="inlineStr">
        <is>
          <t>No</t>
        </is>
      </c>
      <c r="L41" s="10" t="inlineStr">
        <is>
          <t>No</t>
        </is>
      </c>
      <c r="M41" s="10" t="inlineStr"/>
      <c r="N41" s="10">
        <f>IF(E41="","",IF(COUNTIF($E$4:$E$130,E41)&gt;1,"Duplicate",""))</f>
        <v/>
      </c>
      <c r="O41" s="10" t="inlineStr"/>
      <c r="P41" s="10" t="inlineStr">
        <is>
          <t>High</t>
        </is>
      </c>
      <c r="Q41" s="10" t="inlineStr">
        <is>
          <t>Needs verification</t>
        </is>
      </c>
    </row>
    <row r="42">
      <c r="A42" s="10" t="n">
        <v>39</v>
      </c>
      <c r="B42" s="10" t="inlineStr">
        <is>
          <t>Aday MS, Caner C. (2014). Individual and combined effects of ultrasound, ozone and chlorine dioxide on strawberry storage life. LWT - Food Science and Technology, 57(1), 344-351. https://doi.org/10.1016/j.lwt.2014.01.006</t>
        </is>
      </c>
      <c r="C42" s="10" t="n">
        <v>2014</v>
      </c>
      <c r="D42" s="10" t="inlineStr">
        <is>
          <t>Individual and combined effects of ultrasound</t>
        </is>
      </c>
      <c r="E42" s="10" t="inlineStr">
        <is>
          <t>https://doi.org/10.1016/j.lwt.2014.01.006</t>
        </is>
      </c>
      <c r="F42" s="10" t="inlineStr">
        <is>
          <t>Power ultrasound applications / metrology</t>
        </is>
      </c>
      <c r="G42" s="10" t="inlineStr">
        <is>
          <t>Primary / research article</t>
        </is>
      </c>
      <c r="H42" s="10" t="inlineStr">
        <is>
          <t>No</t>
        </is>
      </c>
      <c r="I42" s="10" t="inlineStr">
        <is>
          <t>No</t>
        </is>
      </c>
      <c r="J42" s="10" t="inlineStr">
        <is>
          <t>No</t>
        </is>
      </c>
      <c r="K42" s="10" t="inlineStr">
        <is>
          <t>No</t>
        </is>
      </c>
      <c r="L42" s="10" t="inlineStr">
        <is>
          <t>No</t>
        </is>
      </c>
      <c r="M42" s="10" t="inlineStr"/>
      <c r="N42" s="10">
        <f>IF(E42="","",IF(COUNTIF($E$4:$E$130,E42)&gt;1,"Duplicate",""))</f>
        <v/>
      </c>
      <c r="O42" s="10" t="inlineStr"/>
      <c r="P42" s="10" t="inlineStr">
        <is>
          <t>Medium</t>
        </is>
      </c>
      <c r="Q42" s="10" t="inlineStr">
        <is>
          <t>Needs verification</t>
        </is>
      </c>
    </row>
    <row r="43">
      <c r="A43" s="10" t="n">
        <v>40</v>
      </c>
      <c r="B43" s="10" t="inlineStr">
        <is>
          <t>Adekunte AO, Tiwari BK, Cullen PJ, Scannell AGM, O’Donnell CP. (2010). Effect of sonication on colour, ascorbic acid and yeast inactivation in tomato juice. Food Chemistry, 122(3), 500-507. https://doi.org/10.1016/j.foodchem.2010.01.026</t>
        </is>
      </c>
      <c r="C43" s="10" t="n">
        <v>2010</v>
      </c>
      <c r="D43" s="10" t="inlineStr">
        <is>
          <t>Effect of sonication on colour</t>
        </is>
      </c>
      <c r="E43" s="10" t="inlineStr">
        <is>
          <t>https://doi.org/10.1016/j.foodchem.2010.01.026</t>
        </is>
      </c>
      <c r="F43" s="10" t="inlineStr">
        <is>
          <t>Power ultrasound applications / metrology</t>
        </is>
      </c>
      <c r="G43" s="10" t="inlineStr">
        <is>
          <t>Primary / research article</t>
        </is>
      </c>
      <c r="H43" s="10" t="inlineStr">
        <is>
          <t>No</t>
        </is>
      </c>
      <c r="I43" s="10" t="inlineStr">
        <is>
          <t>No</t>
        </is>
      </c>
      <c r="J43" s="10" t="inlineStr">
        <is>
          <t>No</t>
        </is>
      </c>
      <c r="K43" s="10" t="inlineStr">
        <is>
          <t>No</t>
        </is>
      </c>
      <c r="L43" s="10" t="inlineStr">
        <is>
          <t>No</t>
        </is>
      </c>
      <c r="M43" s="10" t="inlineStr"/>
      <c r="N43" s="10">
        <f>IF(E43="","",IF(COUNTIF($E$4:$E$130,E43)&gt;1,"Duplicate",""))</f>
        <v/>
      </c>
      <c r="O43" s="10" t="inlineStr"/>
      <c r="P43" s="10" t="inlineStr">
        <is>
          <t>Medium</t>
        </is>
      </c>
      <c r="Q43" s="10" t="inlineStr">
        <is>
          <t>Needs verification</t>
        </is>
      </c>
    </row>
    <row r="44">
      <c r="A44" s="10" t="n">
        <v>41</v>
      </c>
      <c r="B44" s="10" t="inlineStr">
        <is>
          <t>Afari GK, Hung YC, King CH, Hu A. (2016). Reduction of Escherichia coli O157:H7 and Salmonella Typhimurium DT 104 on fresh produce using an automated washer with near neutral electrolyzed (NEO) water and ultrasound. Food Control, 63, 246-254. https://doi.org/10.1016/j.foodcont.2015.11.038</t>
        </is>
      </c>
      <c r="C44" s="10" t="n">
        <v>2016</v>
      </c>
      <c r="D44" s="10" t="inlineStr">
        <is>
          <t>Reduction of Escherichia coli O157:H7 and Salmonella Typhimurium DT 104 on fresh produce using an automated washer with near neutral electrolyzed (NEO) water and ultrasound</t>
        </is>
      </c>
      <c r="E44" s="10" t="inlineStr">
        <is>
          <t>https://doi.org/10.1016/j.foodcont.2015.11.038</t>
        </is>
      </c>
      <c r="F44" s="10" t="inlineStr">
        <is>
          <t>Power ultrasound applications / metrology</t>
        </is>
      </c>
      <c r="G44" s="10" t="inlineStr">
        <is>
          <t>Primary / research article</t>
        </is>
      </c>
      <c r="H44" s="10" t="inlineStr">
        <is>
          <t>No</t>
        </is>
      </c>
      <c r="I44" s="10" t="inlineStr">
        <is>
          <t>No</t>
        </is>
      </c>
      <c r="J44" s="10" t="inlineStr">
        <is>
          <t>No</t>
        </is>
      </c>
      <c r="K44" s="10" t="inlineStr">
        <is>
          <t>No</t>
        </is>
      </c>
      <c r="L44" s="10" t="inlineStr">
        <is>
          <t>No</t>
        </is>
      </c>
      <c r="M44" s="10" t="inlineStr"/>
      <c r="N44" s="10">
        <f>IF(E44="","",IF(COUNTIF($E$4:$E$130,E44)&gt;1,"Duplicate",""))</f>
        <v/>
      </c>
      <c r="O44" s="10" t="inlineStr"/>
      <c r="P44" s="10" t="inlineStr">
        <is>
          <t>Medium</t>
        </is>
      </c>
      <c r="Q44" s="10" t="inlineStr">
        <is>
          <t>Needs verification</t>
        </is>
      </c>
    </row>
    <row r="45">
      <c r="A45" s="10" t="n">
        <v>42</v>
      </c>
      <c r="B45" s="10" t="inlineStr">
        <is>
          <t>Gani A, Baba WN, Ahmad M, Shah U, Khan AA, Wani IA, et al. (2016). Effect of ultrasound treatment on physico-chemical, nutraceutical and microbial quality of strawberry. LWT - Food Science and Technology, 66, 496-502. https://doi.org/10.1016/j.lwt.2015.10.067</t>
        </is>
      </c>
      <c r="C45" s="10" t="n">
        <v>2016</v>
      </c>
      <c r="D45" s="10" t="inlineStr">
        <is>
          <t>Effect of ultrasound treatment on physico-chemical</t>
        </is>
      </c>
      <c r="E45" s="10" t="inlineStr">
        <is>
          <t>https://doi.org/10.1016/j.lwt.2015.10.067</t>
        </is>
      </c>
      <c r="F45" s="10" t="inlineStr">
        <is>
          <t>Power ultrasound applications / metrology</t>
        </is>
      </c>
      <c r="G45" s="10" t="inlineStr">
        <is>
          <t>Primary / research article</t>
        </is>
      </c>
      <c r="H45" s="10" t="inlineStr">
        <is>
          <t>No</t>
        </is>
      </c>
      <c r="I45" s="10" t="inlineStr">
        <is>
          <t>No</t>
        </is>
      </c>
      <c r="J45" s="10" t="inlineStr">
        <is>
          <t>No</t>
        </is>
      </c>
      <c r="K45" s="10" t="inlineStr">
        <is>
          <t>No</t>
        </is>
      </c>
      <c r="L45" s="10" t="inlineStr">
        <is>
          <t>No</t>
        </is>
      </c>
      <c r="M45" s="10" t="inlineStr"/>
      <c r="N45" s="10">
        <f>IF(E45="","",IF(COUNTIF($E$4:$E$130,E45)&gt;1,"Duplicate",""))</f>
        <v/>
      </c>
      <c r="O45" s="10" t="inlineStr"/>
      <c r="P45" s="10" t="inlineStr">
        <is>
          <t>Medium</t>
        </is>
      </c>
      <c r="Q45" s="10" t="inlineStr">
        <is>
          <t>Needs verification</t>
        </is>
      </c>
    </row>
    <row r="46">
      <c r="A46" s="10" t="n">
        <v>43</v>
      </c>
      <c r="B46" s="10" t="inlineStr">
        <is>
          <t>Bhat R, Kamaruddin NSBC, Min-Tze L, Karim AA. (2011). Sonication improves kasturi lime (Citrus microcarpa) juice quality. Ultrasonics Sonochemistry, 18(6), 1295-1300. https://doi.org/10.1016/j.ultsonch.2011.04.002</t>
        </is>
      </c>
      <c r="C46" s="10" t="n">
        <v>2011</v>
      </c>
      <c r="D46" s="10" t="inlineStr">
        <is>
          <t>Sonication improves kasturi lime (Citrus microcarpa) juice quality</t>
        </is>
      </c>
      <c r="E46" s="10" t="inlineStr">
        <is>
          <t>https://doi.org/10.1016/j.ultsonch.2011.04.002</t>
        </is>
      </c>
      <c r="F46" s="10" t="inlineStr">
        <is>
          <t>Power ultrasound applications / metrology</t>
        </is>
      </c>
      <c r="G46" s="10" t="inlineStr">
        <is>
          <t>Primary / research article</t>
        </is>
      </c>
      <c r="H46" s="10" t="inlineStr">
        <is>
          <t>No</t>
        </is>
      </c>
      <c r="I46" s="10" t="inlineStr">
        <is>
          <t>No</t>
        </is>
      </c>
      <c r="J46" s="10" t="inlineStr">
        <is>
          <t>No</t>
        </is>
      </c>
      <c r="K46" s="10" t="inlineStr">
        <is>
          <t>No</t>
        </is>
      </c>
      <c r="L46" s="10" t="inlineStr">
        <is>
          <t>No</t>
        </is>
      </c>
      <c r="M46" s="10" t="inlineStr"/>
      <c r="N46" s="10">
        <f>IF(E46="","",IF(COUNTIF($E$4:$E$130,E46)&gt;1,"Duplicate",""))</f>
        <v/>
      </c>
      <c r="O46" s="10" t="inlineStr"/>
      <c r="P46" s="10" t="inlineStr">
        <is>
          <t>Medium</t>
        </is>
      </c>
      <c r="Q46" s="10" t="inlineStr">
        <is>
          <t>Needs verification</t>
        </is>
      </c>
    </row>
    <row r="47">
      <c r="A47" s="10" t="n">
        <v>44</v>
      </c>
      <c r="B47" s="10" t="inlineStr">
        <is>
          <t>Bilek SE, Turantaş F. (2013). Decontamination efficiency of high power ultrasound in the fruit and vegetable industry, a review. International Journal of Food Microbiology, 166(1), 155-162. https://doi.org/10.1016/j.ijfoodmicro.2013.06.028</t>
        </is>
      </c>
      <c r="C47" s="10" t="n">
        <v>2013</v>
      </c>
      <c r="D47" s="10" t="inlineStr">
        <is>
          <t>Decontamination efficiency of high power ultrasound in the fruit and vegetable industry</t>
        </is>
      </c>
      <c r="E47" s="10" t="inlineStr">
        <is>
          <t>https://doi.org/10.1016/j.ijfoodmicro.2013.06.028</t>
        </is>
      </c>
      <c r="F47" s="10" t="inlineStr">
        <is>
          <t>Power ultrasound applications / metrology</t>
        </is>
      </c>
      <c r="G47" s="10" t="inlineStr">
        <is>
          <t>Review</t>
        </is>
      </c>
      <c r="H47" s="10" t="inlineStr">
        <is>
          <t>No</t>
        </is>
      </c>
      <c r="I47" s="10" t="inlineStr">
        <is>
          <t>No</t>
        </is>
      </c>
      <c r="J47" s="10" t="inlineStr">
        <is>
          <t>No</t>
        </is>
      </c>
      <c r="K47" s="10" t="inlineStr">
        <is>
          <t>No</t>
        </is>
      </c>
      <c r="L47" s="10" t="inlineStr">
        <is>
          <t>No</t>
        </is>
      </c>
      <c r="M47" s="10" t="inlineStr"/>
      <c r="N47" s="10">
        <f>IF(E47="","",IF(COUNTIF($E$4:$E$130,E47)&gt;1,"Duplicate",""))</f>
        <v/>
      </c>
      <c r="O47" s="10" t="inlineStr"/>
      <c r="P47" s="10" t="inlineStr">
        <is>
          <t>Medium</t>
        </is>
      </c>
      <c r="Q47" s="10" t="inlineStr">
        <is>
          <t>Needs verification</t>
        </is>
      </c>
    </row>
    <row r="48">
      <c r="A48" s="10" t="n">
        <v>45</v>
      </c>
      <c r="B48" s="10" t="inlineStr">
        <is>
          <t>São José JFBD, Andrade NJD, Ramos AM, Vanetti MCD, Stringheta PC, Chaves JBP. (2014). Decontamination by ultrasound application in fresh fruits and vegetables. Food Control, 45, 36-50. https://doi.org/10.1016/j.foodcont.2014.04.015</t>
        </is>
      </c>
      <c r="C48" s="10" t="n">
        <v>2014</v>
      </c>
      <c r="D48" s="10" t="inlineStr">
        <is>
          <t>Decontamination by ultrasound application in fresh fruits and vegetables</t>
        </is>
      </c>
      <c r="E48" s="10" t="inlineStr">
        <is>
          <t>https://doi.org/10.1016/j.foodcont.2014.04.015</t>
        </is>
      </c>
      <c r="F48" s="10" t="inlineStr">
        <is>
          <t>Power ultrasound applications / metrology</t>
        </is>
      </c>
      <c r="G48" s="10" t="inlineStr">
        <is>
          <t>Primary / research article</t>
        </is>
      </c>
      <c r="H48" s="10" t="inlineStr">
        <is>
          <t>No</t>
        </is>
      </c>
      <c r="I48" s="10" t="inlineStr">
        <is>
          <t>No</t>
        </is>
      </c>
      <c r="J48" s="10" t="inlineStr">
        <is>
          <t>No</t>
        </is>
      </c>
      <c r="K48" s="10" t="inlineStr">
        <is>
          <t>No</t>
        </is>
      </c>
      <c r="L48" s="10" t="inlineStr">
        <is>
          <t>No</t>
        </is>
      </c>
      <c r="M48" s="10" t="inlineStr"/>
      <c r="N48" s="10">
        <f>IF(E48="","",IF(COUNTIF($E$4:$E$130,E48)&gt;1,"Duplicate",""))</f>
        <v/>
      </c>
      <c r="O48" s="10" t="inlineStr"/>
      <c r="P48" s="10" t="inlineStr">
        <is>
          <t>Medium</t>
        </is>
      </c>
      <c r="Q48" s="10" t="inlineStr">
        <is>
          <t>Needs verification</t>
        </is>
      </c>
    </row>
    <row r="49">
      <c r="A49" s="10" t="n">
        <v>46</v>
      </c>
      <c r="B49" s="10" t="inlineStr">
        <is>
          <t>Liu S, Liu Y, Huang X, Yang W, Hu W, Pan S. (2017). Effect of ultrasonic processing on the changes in activity, aggregation and the secondary and tertiary structure of polyphenol oxidase in oriental sweet melon (Cucumis melo var. makuwa Makino). Journal of the Science of Food and Agriculture, 97(4), 1326-1334. https://doi.org/10.1002/jsfa.7869</t>
        </is>
      </c>
      <c r="C49" s="10" t="n">
        <v>2017</v>
      </c>
      <c r="D49" s="10" t="inlineStr">
        <is>
          <t>Effect of ultrasonic processing on the changes in activity</t>
        </is>
      </c>
      <c r="E49" s="10" t="inlineStr">
        <is>
          <t>https://doi.org/10.1002/jsfa.7869</t>
        </is>
      </c>
      <c r="F49" s="10" t="inlineStr">
        <is>
          <t>Power ultrasound applications / metrology</t>
        </is>
      </c>
      <c r="G49" s="10" t="inlineStr">
        <is>
          <t>Primary / research article</t>
        </is>
      </c>
      <c r="H49" s="10" t="inlineStr">
        <is>
          <t>No</t>
        </is>
      </c>
      <c r="I49" s="10" t="inlineStr">
        <is>
          <t>No</t>
        </is>
      </c>
      <c r="J49" s="10" t="inlineStr">
        <is>
          <t>No</t>
        </is>
      </c>
      <c r="K49" s="10" t="inlineStr">
        <is>
          <t>No</t>
        </is>
      </c>
      <c r="L49" s="10" t="inlineStr">
        <is>
          <t>No</t>
        </is>
      </c>
      <c r="M49" s="10" t="inlineStr"/>
      <c r="N49" s="10">
        <f>IF(E49="","",IF(COUNTIF($E$4:$E$130,E49)&gt;1,"Duplicate",""))</f>
        <v/>
      </c>
      <c r="O49" s="10" t="inlineStr"/>
      <c r="P49" s="10" t="inlineStr">
        <is>
          <t>Medium</t>
        </is>
      </c>
      <c r="Q49" s="10" t="inlineStr">
        <is>
          <t>Needs verification</t>
        </is>
      </c>
    </row>
    <row r="50">
      <c r="A50" s="10" t="n">
        <v>47</v>
      </c>
      <c r="B50" s="10" t="inlineStr">
        <is>
          <t>Luo K, Oh DH. (2016). Inactivation kinetics of Listeria monocytogenes and Salmonella enterica serovar Typhimurium on fresh-cut bell pepper treated with slightly acidic electrolyzed water combined with ultrasound and mild heat. Food Microbiology, 53, 165-171. https://doi.org/10.1016/j.fm.2015.09.014</t>
        </is>
      </c>
      <c r="C50" s="10" t="n">
        <v>2016</v>
      </c>
      <c r="D50" s="10" t="inlineStr">
        <is>
          <t>Inactivation kinetics of Listeria monocytogenes and Salmonella enterica serovar Typhimurium on fresh-cut bell pepper treated with slightly acidic electrolyzed water combined with ultrasound and mild heat</t>
        </is>
      </c>
      <c r="E50" s="10" t="inlineStr">
        <is>
          <t>https://doi.org/10.1016/j.fm.2015.09.014</t>
        </is>
      </c>
      <c r="F50" s="10" t="inlineStr">
        <is>
          <t>Power ultrasound applications / metrology</t>
        </is>
      </c>
      <c r="G50" s="10" t="inlineStr">
        <is>
          <t>Primary / research article</t>
        </is>
      </c>
      <c r="H50" s="10" t="inlineStr">
        <is>
          <t>No</t>
        </is>
      </c>
      <c r="I50" s="10" t="inlineStr">
        <is>
          <t>No</t>
        </is>
      </c>
      <c r="J50" s="10" t="inlineStr">
        <is>
          <t>No</t>
        </is>
      </c>
      <c r="K50" s="10" t="inlineStr">
        <is>
          <t>No</t>
        </is>
      </c>
      <c r="L50" s="10" t="inlineStr">
        <is>
          <t>No</t>
        </is>
      </c>
      <c r="M50" s="10" t="inlineStr"/>
      <c r="N50" s="10">
        <f>IF(E50="","",IF(COUNTIF($E$4:$E$130,E50)&gt;1,"Duplicate",""))</f>
        <v/>
      </c>
      <c r="O50" s="10" t="inlineStr"/>
      <c r="P50" s="10" t="inlineStr">
        <is>
          <t>Medium</t>
        </is>
      </c>
      <c r="Q50" s="10" t="inlineStr">
        <is>
          <t>Needs verification</t>
        </is>
      </c>
    </row>
    <row r="51">
      <c r="A51" s="10" t="n">
        <v>48</v>
      </c>
      <c r="B51" s="10" t="inlineStr">
        <is>
          <t>Schössler K, Thomas T, Knorr D. (2012). Modification of cell structure and mass transfer in potato tissue by contact ultrasound. Food Research International, 49(1), 425-431. https://doi.org/10.1016/j.foodres.2012.07.027</t>
        </is>
      </c>
      <c r="C51" s="10" t="n">
        <v>2012</v>
      </c>
      <c r="D51" s="10" t="inlineStr">
        <is>
          <t>Modification of cell structure and mass transfer in potato tissue by contact ultrasound</t>
        </is>
      </c>
      <c r="E51" s="10" t="inlineStr">
        <is>
          <t>https://doi.org/10.1016/j.foodres.2012.07.027</t>
        </is>
      </c>
      <c r="F51" s="10" t="inlineStr">
        <is>
          <t>Power ultrasound applications / metrology</t>
        </is>
      </c>
      <c r="G51" s="10" t="inlineStr">
        <is>
          <t>Primary / research article</t>
        </is>
      </c>
      <c r="H51" s="10" t="inlineStr">
        <is>
          <t>No</t>
        </is>
      </c>
      <c r="I51" s="10" t="inlineStr">
        <is>
          <t>No</t>
        </is>
      </c>
      <c r="J51" s="10" t="inlineStr">
        <is>
          <t>No</t>
        </is>
      </c>
      <c r="K51" s="10" t="inlineStr">
        <is>
          <t>No</t>
        </is>
      </c>
      <c r="L51" s="10" t="inlineStr">
        <is>
          <t>No</t>
        </is>
      </c>
      <c r="M51" s="10" t="inlineStr"/>
      <c r="N51" s="10">
        <f>IF(E51="","",IF(COUNTIF($E$4:$E$130,E51)&gt;1,"Duplicate",""))</f>
        <v/>
      </c>
      <c r="O51" s="10" t="inlineStr"/>
      <c r="P51" s="10" t="inlineStr">
        <is>
          <t>Medium</t>
        </is>
      </c>
      <c r="Q51" s="10" t="inlineStr">
        <is>
          <t>Needs verification</t>
        </is>
      </c>
    </row>
    <row r="52">
      <c r="A52" s="10" t="n">
        <v>49</v>
      </c>
      <c r="B52" s="10" t="inlineStr">
        <is>
          <t>Shiferaw Terefe N, Buckow R, Versteeg C. (2015). Quality-Related Enzymes in Plant-Based Products: Effects of Novel Food-Processing Technologies Part 3: Ultrasonic Processing. Critical Reviews in Food Science and Nutrition, 55(2), 147-158. https://doi.org/10.1080/10408398.2011.586134</t>
        </is>
      </c>
      <c r="C52" s="10" t="n">
        <v>2015</v>
      </c>
      <c r="D52" s="10" t="inlineStr">
        <is>
          <t>Quality-Related Enzymes in Plant-Based Products: Effects of Novel Food-Processing Technologies Part 3: Ultrasonic Processing</t>
        </is>
      </c>
      <c r="E52" s="10" t="inlineStr">
        <is>
          <t>https://doi.org/10.1080/10408398.2011.586134</t>
        </is>
      </c>
      <c r="F52" s="10" t="inlineStr">
        <is>
          <t>Power ultrasound applications / metrology</t>
        </is>
      </c>
      <c r="G52" s="10" t="inlineStr">
        <is>
          <t>Review</t>
        </is>
      </c>
      <c r="H52" s="10" t="inlineStr">
        <is>
          <t>No</t>
        </is>
      </c>
      <c r="I52" s="10" t="inlineStr">
        <is>
          <t>No</t>
        </is>
      </c>
      <c r="J52" s="10" t="inlineStr">
        <is>
          <t>No</t>
        </is>
      </c>
      <c r="K52" s="10" t="inlineStr">
        <is>
          <t>No</t>
        </is>
      </c>
      <c r="L52" s="10" t="inlineStr">
        <is>
          <t>No</t>
        </is>
      </c>
      <c r="M52" s="10" t="inlineStr"/>
      <c r="N52" s="10">
        <f>IF(E52="","",IF(COUNTIF($E$4:$E$130,E52)&gt;1,"Duplicate",""))</f>
        <v/>
      </c>
      <c r="O52" s="10" t="inlineStr"/>
      <c r="P52" s="10" t="inlineStr">
        <is>
          <t>Medium</t>
        </is>
      </c>
      <c r="Q52" s="10" t="inlineStr">
        <is>
          <t>Needs verification</t>
        </is>
      </c>
    </row>
    <row r="53">
      <c r="A53" s="10" t="n">
        <v>50</v>
      </c>
      <c r="B53" s="10" t="inlineStr">
        <is>
          <t>Wang W, Ma X, Zou M, Jiang P, Hu W, Li J, et al. (2015). Effects of Ultrasound on Spoilage Microorganisms, Quality, and Antioxidant Capacity of Postharvest Cherry Tomatoes. Journal of Food Science, 80(10). https://doi.org/10.1111/1750-3841.12955</t>
        </is>
      </c>
      <c r="C53" s="10" t="n">
        <v>2015</v>
      </c>
      <c r="D53" s="10" t="inlineStr">
        <is>
          <t>Effects of Ultrasound on Spoilage Microorganisms</t>
        </is>
      </c>
      <c r="E53" s="10" t="inlineStr">
        <is>
          <t>https://doi.org/10.1111/1750-3841.12955</t>
        </is>
      </c>
      <c r="F53" s="10" t="inlineStr">
        <is>
          <t>Power ultrasound applications / metrology</t>
        </is>
      </c>
      <c r="G53" s="10" t="inlineStr">
        <is>
          <t>Primary / research article</t>
        </is>
      </c>
      <c r="H53" s="10" t="inlineStr">
        <is>
          <t>No</t>
        </is>
      </c>
      <c r="I53" s="10" t="inlineStr">
        <is>
          <t>No</t>
        </is>
      </c>
      <c r="J53" s="10" t="inlineStr">
        <is>
          <t>No</t>
        </is>
      </c>
      <c r="K53" s="10" t="inlineStr">
        <is>
          <t>No</t>
        </is>
      </c>
      <c r="L53" s="10" t="inlineStr">
        <is>
          <t>No</t>
        </is>
      </c>
      <c r="M53" s="10" t="inlineStr"/>
      <c r="N53" s="10">
        <f>IF(E53="","",IF(COUNTIF($E$4:$E$130,E53)&gt;1,"Duplicate",""))</f>
        <v/>
      </c>
      <c r="O53" s="10" t="inlineStr"/>
      <c r="P53" s="10" t="inlineStr">
        <is>
          <t>Medium</t>
        </is>
      </c>
      <c r="Q53" s="10" t="inlineStr">
        <is>
          <t>Needs verification</t>
        </is>
      </c>
    </row>
    <row r="54">
      <c r="A54" s="10" t="n">
        <v>51</v>
      </c>
      <c r="B54" s="10" t="inlineStr">
        <is>
          <t>Vivek K, Subbarao KV, Srivastava B. (2016). Optimization of postharvest ultrasonic treatment of kiwifruit using RSM. Ultrasonics Sonochemistry, 32, 328-335. https://doi.org/10.1016/j.ultsonch.2016.03.029</t>
        </is>
      </c>
      <c r="C54" s="10" t="n">
        <v>2016</v>
      </c>
      <c r="D54" s="10" t="inlineStr">
        <is>
          <t>Optimization of postharvest ultrasonic treatment of kiwifruit using RSM</t>
        </is>
      </c>
      <c r="E54" s="10" t="inlineStr">
        <is>
          <t>https://doi.org/10.1016/j.ultsonch.2016.03.029</t>
        </is>
      </c>
      <c r="F54" s="10" t="inlineStr">
        <is>
          <t>Power ultrasound applications / metrology</t>
        </is>
      </c>
      <c r="G54" s="10" t="inlineStr">
        <is>
          <t>Primary / research article</t>
        </is>
      </c>
      <c r="H54" s="10" t="inlineStr">
        <is>
          <t>No</t>
        </is>
      </c>
      <c r="I54" s="10" t="inlineStr">
        <is>
          <t>No</t>
        </is>
      </c>
      <c r="J54" s="10" t="inlineStr">
        <is>
          <t>No</t>
        </is>
      </c>
      <c r="K54" s="10" t="inlineStr">
        <is>
          <t>No</t>
        </is>
      </c>
      <c r="L54" s="10" t="inlineStr">
        <is>
          <t>No</t>
        </is>
      </c>
      <c r="M54" s="10" t="inlineStr"/>
      <c r="N54" s="10">
        <f>IF(E54="","",IF(COUNTIF($E$4:$E$130,E54)&gt;1,"Duplicate",""))</f>
        <v/>
      </c>
      <c r="O54" s="10" t="inlineStr"/>
      <c r="P54" s="10" t="inlineStr">
        <is>
          <t>Medium</t>
        </is>
      </c>
      <c r="Q54" s="10" t="inlineStr">
        <is>
          <t>Needs verification</t>
        </is>
      </c>
    </row>
    <row r="55">
      <c r="A55" s="10" t="n">
        <v>52</v>
      </c>
      <c r="B55" s="10" t="inlineStr">
        <is>
          <t>Wu S, Nie Y, Zhao J, Fan B, Huang X, Li X, et al. (2018). The Synergistic Effects of Low-Concentration Acidic Electrolyzed Water and Ultrasound on the Storage Quality of Fresh-Sliced Button Mushrooms. Food and Bioprocess Technology, 11(2), 314-323. https://doi.org/10.1007/s11947-017-2012-2</t>
        </is>
      </c>
      <c r="C55" s="10" t="n">
        <v>2018</v>
      </c>
      <c r="D55" s="10" t="inlineStr">
        <is>
          <t>The Synergistic Effects of Low-Concentration Acidic Electrolyzed Water and Ultrasound on the Storage Quality of Fresh-Sliced Button Mushrooms</t>
        </is>
      </c>
      <c r="E55" s="10" t="inlineStr">
        <is>
          <t>https://doi.org/10.1007/s11947-017-2012-2</t>
        </is>
      </c>
      <c r="F55" s="10" t="inlineStr">
        <is>
          <t>Power ultrasound applications / metrology</t>
        </is>
      </c>
      <c r="G55" s="10" t="inlineStr">
        <is>
          <t>Primary / research article</t>
        </is>
      </c>
      <c r="H55" s="10" t="inlineStr">
        <is>
          <t>No</t>
        </is>
      </c>
      <c r="I55" s="10" t="inlineStr">
        <is>
          <t>No</t>
        </is>
      </c>
      <c r="J55" s="10" t="inlineStr">
        <is>
          <t>No</t>
        </is>
      </c>
      <c r="K55" s="10" t="inlineStr">
        <is>
          <t>No</t>
        </is>
      </c>
      <c r="L55" s="10" t="inlineStr">
        <is>
          <t>No</t>
        </is>
      </c>
      <c r="M55" s="10" t="inlineStr"/>
      <c r="N55" s="10">
        <f>IF(E55="","",IF(COUNTIF($E$4:$E$130,E55)&gt;1,"Duplicate",""))</f>
        <v/>
      </c>
      <c r="O55" s="10" t="inlineStr"/>
      <c r="P55" s="10" t="inlineStr">
        <is>
          <t>Medium</t>
        </is>
      </c>
      <c r="Q55" s="10" t="inlineStr">
        <is>
          <t>Needs verification</t>
        </is>
      </c>
    </row>
    <row r="56">
      <c r="A56" s="10" t="n">
        <v>53</v>
      </c>
      <c r="B56" s="10" t="inlineStr">
        <is>
          <t>Hashemi SMB. (2018). Effect of pulsed ultrasound treatment compared to continuous mode on microbiological and quality of Mirabelle plum during postharvest storage. International Journal of Food Science &amp; Technology, 53(3), 564-570. https://doi.org/10.1111/ijfs.13629</t>
        </is>
      </c>
      <c r="C56" s="10" t="n">
        <v>2018</v>
      </c>
      <c r="D56" s="10" t="inlineStr">
        <is>
          <t>Effect of pulsed ultrasound treatment compared to continuous mode on microbiological and quality of Mirabelle plum during postharvest storage</t>
        </is>
      </c>
      <c r="E56" s="10" t="inlineStr">
        <is>
          <t>https://doi.org/10.1111/ijfs.13629</t>
        </is>
      </c>
      <c r="F56" s="10" t="inlineStr">
        <is>
          <t>Power ultrasound applications / metrology</t>
        </is>
      </c>
      <c r="G56" s="10" t="inlineStr">
        <is>
          <t>Primary / research article</t>
        </is>
      </c>
      <c r="H56" s="10" t="inlineStr">
        <is>
          <t>No</t>
        </is>
      </c>
      <c r="I56" s="10" t="inlineStr">
        <is>
          <t>No</t>
        </is>
      </c>
      <c r="J56" s="10" t="inlineStr">
        <is>
          <t>No</t>
        </is>
      </c>
      <c r="K56" s="10" t="inlineStr">
        <is>
          <t>No</t>
        </is>
      </c>
      <c r="L56" s="10" t="inlineStr">
        <is>
          <t>No</t>
        </is>
      </c>
      <c r="M56" s="10" t="inlineStr"/>
      <c r="N56" s="10">
        <f>IF(E56="","",IF(COUNTIF($E$4:$E$130,E56)&gt;1,"Duplicate",""))</f>
        <v/>
      </c>
      <c r="O56" s="10" t="inlineStr"/>
      <c r="P56" s="10" t="inlineStr">
        <is>
          <t>Medium</t>
        </is>
      </c>
      <c r="Q56" s="10" t="inlineStr">
        <is>
          <t>Needs verification</t>
        </is>
      </c>
    </row>
    <row r="57">
      <c r="A57" s="10" t="n">
        <v>54</v>
      </c>
      <c r="B57" s="10" t="inlineStr">
        <is>
          <t>Feng L, Zhang M, Adhikari B, Guo Z. (2018). Effect of Ultrasound Combined with Controlled Atmosphere on Postharvest Storage Quality of Cucumbers (Cucumis sativus L.). Food and Bioprocess Technology, 11(7), 1328-1338. https://doi.org/10.1007/s11947-018-2102-9</t>
        </is>
      </c>
      <c r="C57" s="10" t="n">
        <v>2018</v>
      </c>
      <c r="D57" s="10" t="inlineStr">
        <is>
          <t>Effect of Ultrasound Combined with Controlled Atmosphere on Postharvest Storage Quality of Cucumbers (Cucumis sativus L.)</t>
        </is>
      </c>
      <c r="E57" s="10" t="inlineStr">
        <is>
          <t>https://doi.org/10.1007/s11947-018-2102-9</t>
        </is>
      </c>
      <c r="F57" s="10" t="inlineStr">
        <is>
          <t>Power ultrasound applications / metrology</t>
        </is>
      </c>
      <c r="G57" s="10" t="inlineStr">
        <is>
          <t>Primary / research article</t>
        </is>
      </c>
      <c r="H57" s="10" t="inlineStr">
        <is>
          <t>No</t>
        </is>
      </c>
      <c r="I57" s="10" t="inlineStr">
        <is>
          <t>No</t>
        </is>
      </c>
      <c r="J57" s="10" t="inlineStr">
        <is>
          <t>No</t>
        </is>
      </c>
      <c r="K57" s="10" t="inlineStr">
        <is>
          <t>No</t>
        </is>
      </c>
      <c r="L57" s="10" t="inlineStr">
        <is>
          <t>No</t>
        </is>
      </c>
      <c r="M57" s="10" t="inlineStr"/>
      <c r="N57" s="10">
        <f>IF(E57="","",IF(COUNTIF($E$4:$E$130,E57)&gt;1,"Duplicate",""))</f>
        <v/>
      </c>
      <c r="O57" s="10" t="inlineStr"/>
      <c r="P57" s="10" t="inlineStr">
        <is>
          <t>Medium</t>
        </is>
      </c>
      <c r="Q57" s="10" t="inlineStr">
        <is>
          <t>Needs verification</t>
        </is>
      </c>
    </row>
    <row r="58">
      <c r="A58" s="10" t="n">
        <v>55</v>
      </c>
      <c r="B58" s="10" t="inlineStr">
        <is>
          <t>Khademi O, Ashtari M, Razavi F. (2019). Effects of salicylic acid and ultrasound treatments on chilling injury control and quality preservation in banana fruit during cold storage. Scientia Horticulturae, 249, 334-339. https://doi.org/10.1016/j.scienta.2019.02.018</t>
        </is>
      </c>
      <c r="C58" s="10" t="n">
        <v>2019</v>
      </c>
      <c r="D58" s="10" t="inlineStr">
        <is>
          <t>Effects of salicylic acid and ultrasound treatments on chilling injury control and quality preservation in banana fruit during cold storage</t>
        </is>
      </c>
      <c r="E58" s="10" t="inlineStr">
        <is>
          <t>https://doi.org/10.1016/j.scienta.2019.02.018</t>
        </is>
      </c>
      <c r="F58" s="10" t="inlineStr">
        <is>
          <t>Power ultrasound applications / metrology</t>
        </is>
      </c>
      <c r="G58" s="10" t="inlineStr">
        <is>
          <t>Primary / research article</t>
        </is>
      </c>
      <c r="H58" s="10" t="inlineStr">
        <is>
          <t>No</t>
        </is>
      </c>
      <c r="I58" s="10" t="inlineStr">
        <is>
          <t>No</t>
        </is>
      </c>
      <c r="J58" s="10" t="inlineStr">
        <is>
          <t>No</t>
        </is>
      </c>
      <c r="K58" s="10" t="inlineStr">
        <is>
          <t>No</t>
        </is>
      </c>
      <c r="L58" s="10" t="inlineStr">
        <is>
          <t>No</t>
        </is>
      </c>
      <c r="M58" s="10" t="inlineStr"/>
      <c r="N58" s="10">
        <f>IF(E58="","",IF(COUNTIF($E$4:$E$130,E58)&gt;1,"Duplicate",""))</f>
        <v/>
      </c>
      <c r="O58" s="10" t="inlineStr"/>
      <c r="P58" s="10" t="inlineStr">
        <is>
          <t>Medium</t>
        </is>
      </c>
      <c r="Q58" s="10" t="inlineStr">
        <is>
          <t>Needs verification</t>
        </is>
      </c>
    </row>
    <row r="59">
      <c r="A59" s="10" t="n">
        <v>56</v>
      </c>
      <c r="B59" s="10" t="inlineStr">
        <is>
          <t>Cao S, Hu Z, Pang B. (2010). Optimization of postharvest ultrasonic treatment of strawberry fruit. Postharvest Biology and Technology, 55(3), 150-153. https://doi.org/10.1016/j.postharvbio.2009.11.002</t>
        </is>
      </c>
      <c r="C59" s="10" t="n">
        <v>2010</v>
      </c>
      <c r="D59" s="10" t="inlineStr">
        <is>
          <t>Optimization of postharvest ultrasonic treatment of strawberry fruit</t>
        </is>
      </c>
      <c r="E59" s="10" t="inlineStr">
        <is>
          <t>https://doi.org/10.1016/j.postharvbio.2009.11.002</t>
        </is>
      </c>
      <c r="F59" s="10" t="inlineStr">
        <is>
          <t>Power ultrasound applications / metrology</t>
        </is>
      </c>
      <c r="G59" s="10" t="inlineStr">
        <is>
          <t>Primary / research article</t>
        </is>
      </c>
      <c r="H59" s="10" t="inlineStr">
        <is>
          <t>No</t>
        </is>
      </c>
      <c r="I59" s="10" t="inlineStr">
        <is>
          <t>No</t>
        </is>
      </c>
      <c r="J59" s="10" t="inlineStr">
        <is>
          <t>No</t>
        </is>
      </c>
      <c r="K59" s="10" t="inlineStr">
        <is>
          <t>No</t>
        </is>
      </c>
      <c r="L59" s="10" t="inlineStr">
        <is>
          <t>No</t>
        </is>
      </c>
      <c r="M59" s="10" t="inlineStr"/>
      <c r="N59" s="10">
        <f>IF(E59="","",IF(COUNTIF($E$4:$E$130,E59)&gt;1,"Duplicate",""))</f>
        <v/>
      </c>
      <c r="O59" s="10" t="inlineStr"/>
      <c r="P59" s="10" t="inlineStr">
        <is>
          <t>Medium</t>
        </is>
      </c>
      <c r="Q59" s="10" t="inlineStr">
        <is>
          <t>Needs verification</t>
        </is>
      </c>
    </row>
    <row r="60">
      <c r="A60" s="10" t="n">
        <v>57</v>
      </c>
      <c r="B60" s="10" t="inlineStr">
        <is>
          <t>Jha DK, Arul J. (2020). Effect of ultrasound on postharvest quality and stress markers in tomato fruit during storage. Acta Horticulturae(1275), 75-84. https://doi.org/10.17660/actahortic.2020.1275.11</t>
        </is>
      </c>
      <c r="C60" s="10" t="n">
        <v>2020</v>
      </c>
      <c r="D60" s="10" t="inlineStr">
        <is>
          <t>Effect of ultrasound on postharvest quality and stress markers in tomato fruit during storage</t>
        </is>
      </c>
      <c r="E60" s="10" t="inlineStr">
        <is>
          <t>https://doi.org/10.17660/actahortic.2020.1275.11</t>
        </is>
      </c>
      <c r="F60" s="10" t="inlineStr">
        <is>
          <t>Power ultrasound applications / metrology</t>
        </is>
      </c>
      <c r="G60" s="10" t="inlineStr">
        <is>
          <t>Primary / research article</t>
        </is>
      </c>
      <c r="H60" s="10" t="inlineStr">
        <is>
          <t>No</t>
        </is>
      </c>
      <c r="I60" s="10" t="inlineStr">
        <is>
          <t>No</t>
        </is>
      </c>
      <c r="J60" s="10" t="inlineStr">
        <is>
          <t>No</t>
        </is>
      </c>
      <c r="K60" s="10" t="inlineStr">
        <is>
          <t>No</t>
        </is>
      </c>
      <c r="L60" s="10" t="inlineStr">
        <is>
          <t>No</t>
        </is>
      </c>
      <c r="M60" s="10" t="inlineStr"/>
      <c r="N60" s="10">
        <f>IF(E60="","",IF(COUNTIF($E$4:$E$130,E60)&gt;1,"Duplicate",""))</f>
        <v/>
      </c>
      <c r="O60" s="10" t="inlineStr"/>
      <c r="P60" s="10" t="inlineStr">
        <is>
          <t>Medium</t>
        </is>
      </c>
      <c r="Q60" s="10" t="inlineStr">
        <is>
          <t>Needs verification</t>
        </is>
      </c>
    </row>
    <row r="61">
      <c r="A61" s="10" t="n">
        <v>58</v>
      </c>
      <c r="B61" s="10" t="inlineStr">
        <is>
          <t>Zhang J, Jiang H, Li Y, Wang S, Wang B, Xiao J, et al. (2022). Transcriptomic and physiological analysis reveals the possible mechanism of ultrasound inhibiting strawberry (Fragaria × ananassa Duch.) postharvest softening. Frontiers in Nutrition, 9, 1066043. https://doi.org/10.3389/fnut.2022.1066043</t>
        </is>
      </c>
      <c r="C61" s="10" t="n">
        <v>2022</v>
      </c>
      <c r="D61" s="10" t="inlineStr">
        <is>
          <t>Transcriptomic and physiological analysis reveals the possible mechanism of ultrasound inhibiting strawberry (Fragaria × ananassa Duch.) postharvest softening</t>
        </is>
      </c>
      <c r="E61" s="10" t="inlineStr">
        <is>
          <t>https://doi.org/10.3389/fnut.2022.1066043</t>
        </is>
      </c>
      <c r="F61" s="10" t="inlineStr">
        <is>
          <t>Power ultrasound applications / metrology</t>
        </is>
      </c>
      <c r="G61" s="10" t="inlineStr">
        <is>
          <t>Primary / research article</t>
        </is>
      </c>
      <c r="H61" s="10" t="inlineStr">
        <is>
          <t>No</t>
        </is>
      </c>
      <c r="I61" s="10" t="inlineStr">
        <is>
          <t>No</t>
        </is>
      </c>
      <c r="J61" s="10" t="inlineStr">
        <is>
          <t>No</t>
        </is>
      </c>
      <c r="K61" s="10" t="inlineStr">
        <is>
          <t>No</t>
        </is>
      </c>
      <c r="L61" s="10" t="inlineStr">
        <is>
          <t>No</t>
        </is>
      </c>
      <c r="M61" s="10" t="inlineStr"/>
      <c r="N61" s="10">
        <f>IF(E61="","",IF(COUNTIF($E$4:$E$130,E61)&gt;1,"Duplicate",""))</f>
        <v/>
      </c>
      <c r="O61" s="10" t="inlineStr"/>
      <c r="P61" s="10" t="inlineStr">
        <is>
          <t>Medium</t>
        </is>
      </c>
      <c r="Q61" s="10" t="inlineStr">
        <is>
          <t>Needs verification</t>
        </is>
      </c>
    </row>
    <row r="62">
      <c r="A62" s="10" t="n">
        <v>59</v>
      </c>
      <c r="B62" s="10" t="inlineStr">
        <is>
          <t>Hou Y, Ge Y, Mulati A, Yang Y, Wang J. (2024). Ultrasound as a Physical Elicitor to Improve Texture in Blueberry Fruit: Physiological Indicator and Transcriptomic Analysis. Foods, 13(20), 3246. https://doi.org/10.3390/foods13203246</t>
        </is>
      </c>
      <c r="C62" s="10" t="n">
        <v>2024</v>
      </c>
      <c r="D62" s="10" t="inlineStr">
        <is>
          <t>Ultrasound as a Physical Elicitor to Improve Texture in Blueberry Fruit: Physiological Indicator and Transcriptomic Analysis</t>
        </is>
      </c>
      <c r="E62" s="10" t="inlineStr">
        <is>
          <t>https://doi.org/10.3390/foods13203246</t>
        </is>
      </c>
      <c r="F62" s="10" t="inlineStr">
        <is>
          <t>Power ultrasound applications / metrology</t>
        </is>
      </c>
      <c r="G62" s="10" t="inlineStr">
        <is>
          <t>Primary / research article</t>
        </is>
      </c>
      <c r="H62" s="10" t="inlineStr">
        <is>
          <t>Yes</t>
        </is>
      </c>
      <c r="I62" s="10" t="inlineStr">
        <is>
          <t>No</t>
        </is>
      </c>
      <c r="J62" s="10" t="inlineStr">
        <is>
          <t>No</t>
        </is>
      </c>
      <c r="K62" s="10" t="inlineStr">
        <is>
          <t>No</t>
        </is>
      </c>
      <c r="L62" s="10" t="inlineStr">
        <is>
          <t>No</t>
        </is>
      </c>
      <c r="M62" s="10" t="inlineStr"/>
      <c r="N62" s="10">
        <f>IF(E62="","",IF(COUNTIF($E$4:$E$130,E62)&gt;1,"Duplicate",""))</f>
        <v/>
      </c>
      <c r="O62" s="10" t="inlineStr"/>
      <c r="P62" s="10" t="inlineStr">
        <is>
          <t>Medium</t>
        </is>
      </c>
      <c r="Q62" s="10" t="inlineStr">
        <is>
          <t>Needs verification</t>
        </is>
      </c>
    </row>
    <row r="63">
      <c r="A63" s="10" t="n">
        <v>60</v>
      </c>
      <c r="B63" s="10" t="inlineStr">
        <is>
          <t>Pieczywek PM, Kozioł A, Konopacka D, Cybulska J, Zdunek A. (2017). Changes in cell wall stiffness and microstructure in ultrasonically treated apple. Journal of Food Engineering, 197, 1-8. https://doi.org/10.1016/j.jfoodeng.2016.10.028</t>
        </is>
      </c>
      <c r="C63" s="10" t="n">
        <v>2017</v>
      </c>
      <c r="D63" s="10" t="inlineStr">
        <is>
          <t>Changes in cell wall stiffness and microstructure in ultrasonically treated apple</t>
        </is>
      </c>
      <c r="E63" s="10" t="inlineStr">
        <is>
          <t>https://doi.org/10.1016/j.jfoodeng.2016.10.028</t>
        </is>
      </c>
      <c r="F63" s="10" t="inlineStr">
        <is>
          <t>Power ultrasound applications / metrology</t>
        </is>
      </c>
      <c r="G63" s="10" t="inlineStr">
        <is>
          <t>Primary / research article</t>
        </is>
      </c>
      <c r="H63" s="10" t="inlineStr">
        <is>
          <t>No</t>
        </is>
      </c>
      <c r="I63" s="10" t="inlineStr">
        <is>
          <t>No</t>
        </is>
      </c>
      <c r="J63" s="10" t="inlineStr">
        <is>
          <t>No</t>
        </is>
      </c>
      <c r="K63" s="10" t="inlineStr">
        <is>
          <t>No</t>
        </is>
      </c>
      <c r="L63" s="10" t="inlineStr">
        <is>
          <t>No</t>
        </is>
      </c>
      <c r="M63" s="10" t="inlineStr"/>
      <c r="N63" s="10">
        <f>IF(E63="","",IF(COUNTIF($E$4:$E$130,E63)&gt;1,"Duplicate",""))</f>
        <v/>
      </c>
      <c r="O63" s="10" t="inlineStr"/>
      <c r="P63" s="10" t="inlineStr">
        <is>
          <t>Medium</t>
        </is>
      </c>
      <c r="Q63" s="10" t="inlineStr">
        <is>
          <t>Needs verification</t>
        </is>
      </c>
    </row>
    <row r="64">
      <c r="A64" s="10" t="n">
        <v>61</v>
      </c>
      <c r="B64" s="10" t="inlineStr">
        <is>
          <t>Liu M, Li J, Zong W, Sun W, Mo W, Li S. (2022). Comparison of calcium and ultrasonic treatment on fruit firmness, pectin composition and cell wall-related enzymes of postharvest apricot during storage. Journal of Food Science and Technology, 59(4), 1588-1597. https://doi.org/10.1007/s13197-021-05170-w</t>
        </is>
      </c>
      <c r="C64" s="10" t="n">
        <v>2022</v>
      </c>
      <c r="D64" s="10" t="inlineStr">
        <is>
          <t>Comparison of calcium and ultrasonic treatment on fruit firmness</t>
        </is>
      </c>
      <c r="E64" s="10" t="inlineStr">
        <is>
          <t>https://doi.org/10.1007/s13197-021-05170-w</t>
        </is>
      </c>
      <c r="F64" s="10" t="inlineStr">
        <is>
          <t>Power ultrasound applications / metrology</t>
        </is>
      </c>
      <c r="G64" s="10" t="inlineStr">
        <is>
          <t>Primary / research article</t>
        </is>
      </c>
      <c r="H64" s="10" t="inlineStr">
        <is>
          <t>No</t>
        </is>
      </c>
      <c r="I64" s="10" t="inlineStr">
        <is>
          <t>No</t>
        </is>
      </c>
      <c r="J64" s="10" t="inlineStr">
        <is>
          <t>No</t>
        </is>
      </c>
      <c r="K64" s="10" t="inlineStr">
        <is>
          <t>No</t>
        </is>
      </c>
      <c r="L64" s="10" t="inlineStr">
        <is>
          <t>No</t>
        </is>
      </c>
      <c r="M64" s="10" t="inlineStr"/>
      <c r="N64" s="10">
        <f>IF(E64="","",IF(COUNTIF($E$4:$E$130,E64)&gt;1,"Duplicate",""))</f>
        <v/>
      </c>
      <c r="O64" s="10" t="inlineStr"/>
      <c r="P64" s="10" t="inlineStr">
        <is>
          <t>Medium</t>
        </is>
      </c>
      <c r="Q64" s="10" t="inlineStr">
        <is>
          <t>Needs verification</t>
        </is>
      </c>
    </row>
    <row r="65">
      <c r="A65" s="10" t="n">
        <v>62</v>
      </c>
      <c r="B65" s="10" t="inlineStr">
        <is>
          <t>Contamine RF, Wilhelm AM, Berlan J, Delmas H. (1995). Power measurement in sonochemistry. Ultrasonics Sonochemistry, 2(1), S43-S47. https://doi.org/10.1016/1350-4177(94)00010-P</t>
        </is>
      </c>
      <c r="C65" s="10" t="n">
        <v>1995</v>
      </c>
      <c r="D65" s="10" t="inlineStr">
        <is>
          <t>Power measurement in sonochemistry</t>
        </is>
      </c>
      <c r="E65" s="10" t="inlineStr">
        <is>
          <t>https://doi.org/10.1016/1350-4177(94)00010-P</t>
        </is>
      </c>
      <c r="F65" s="10" t="inlineStr">
        <is>
          <t>Power ultrasound applications / metrology</t>
        </is>
      </c>
      <c r="G65" s="10" t="inlineStr">
        <is>
          <t>Primary / research article</t>
        </is>
      </c>
      <c r="H65" s="10" t="inlineStr">
        <is>
          <t>No</t>
        </is>
      </c>
      <c r="I65" s="10" t="inlineStr">
        <is>
          <t>No</t>
        </is>
      </c>
      <c r="J65" s="10" t="inlineStr">
        <is>
          <t>No</t>
        </is>
      </c>
      <c r="K65" s="10" t="inlineStr">
        <is>
          <t>No</t>
        </is>
      </c>
      <c r="L65" s="10" t="inlineStr">
        <is>
          <t>No</t>
        </is>
      </c>
      <c r="M65" s="10" t="inlineStr"/>
      <c r="N65" s="10">
        <f>IF(E65="","",IF(COUNTIF($E$4:$E$130,E65)&gt;1,"Duplicate",""))</f>
        <v/>
      </c>
      <c r="O65" s="10" t="inlineStr"/>
      <c r="P65" s="10" t="inlineStr">
        <is>
          <t>Medium</t>
        </is>
      </c>
      <c r="Q65" s="10" t="inlineStr">
        <is>
          <t>Needs verification</t>
        </is>
      </c>
    </row>
    <row r="66">
      <c r="A66" s="10" t="n">
        <v>63</v>
      </c>
      <c r="B66" s="10" t="inlineStr">
        <is>
          <t>Margulis MA, Margulis IM. (2003). Calorimetric method for measurement of acoustic power absorbed in a volume of a liquid. Ultrasonics Sonochemistry, 10(6), 343-345. https://doi.org/10.1016/S1350-4177(03)00100-7</t>
        </is>
      </c>
      <c r="C66" s="10" t="n">
        <v>2003</v>
      </c>
      <c r="D66" s="10" t="inlineStr">
        <is>
          <t>Calorimetric method for measurement of acoustic power absorbed in a volume of a liquid</t>
        </is>
      </c>
      <c r="E66" s="10" t="inlineStr">
        <is>
          <t>https://doi.org/10.1016/S1350-4177(03)00100-7</t>
        </is>
      </c>
      <c r="F66" s="10" t="inlineStr">
        <is>
          <t>Power ultrasound applications / metrology</t>
        </is>
      </c>
      <c r="G66" s="10" t="inlineStr">
        <is>
          <t>Primary / research article</t>
        </is>
      </c>
      <c r="H66" s="10" t="inlineStr">
        <is>
          <t>No</t>
        </is>
      </c>
      <c r="I66" s="10" t="inlineStr">
        <is>
          <t>No</t>
        </is>
      </c>
      <c r="J66" s="10" t="inlineStr">
        <is>
          <t>No</t>
        </is>
      </c>
      <c r="K66" s="10" t="inlineStr">
        <is>
          <t>No</t>
        </is>
      </c>
      <c r="L66" s="10" t="inlineStr">
        <is>
          <t>No</t>
        </is>
      </c>
      <c r="M66" s="10" t="inlineStr"/>
      <c r="N66" s="10">
        <f>IF(E66="","",IF(COUNTIF($E$4:$E$130,E66)&gt;1,"Duplicate",""))</f>
        <v/>
      </c>
      <c r="O66" s="10" t="inlineStr"/>
      <c r="P66" s="10" t="inlineStr">
        <is>
          <t>Medium</t>
        </is>
      </c>
      <c r="Q66" s="10" t="inlineStr">
        <is>
          <t>Needs verification</t>
        </is>
      </c>
    </row>
    <row r="67">
      <c r="A67" s="10" t="n">
        <v>64</v>
      </c>
      <c r="B67" s="10" t="inlineStr">
        <is>
          <t>Hodnett M, Zeqiri B. (1997). A strategy for the development and standardisation of measurement methods for high power/cavitating ultrasonic fields: review of high power field measurement techniques. Ultrasonics Sonochemistry, 4(4), 273-288. https://doi.org/10.1016/S1350-4177(97)00042-4</t>
        </is>
      </c>
      <c r="C67" s="10" t="n">
        <v>1997</v>
      </c>
      <c r="D67" s="10" t="inlineStr">
        <is>
          <t>A strategy for the development and standardisation of measurement methods for high power/cavitating ultrasonic fields: review of high power field measurement techniques</t>
        </is>
      </c>
      <c r="E67" s="10" t="inlineStr">
        <is>
          <t>https://doi.org/10.1016/S1350-4177(97)00042-4</t>
        </is>
      </c>
      <c r="F67" s="10" t="inlineStr">
        <is>
          <t>Power ultrasound applications / metrology</t>
        </is>
      </c>
      <c r="G67" s="10" t="inlineStr">
        <is>
          <t>Review</t>
        </is>
      </c>
      <c r="H67" s="10" t="inlineStr">
        <is>
          <t>No</t>
        </is>
      </c>
      <c r="I67" s="10" t="inlineStr">
        <is>
          <t>No</t>
        </is>
      </c>
      <c r="J67" s="10" t="inlineStr">
        <is>
          <t>No</t>
        </is>
      </c>
      <c r="K67" s="10" t="inlineStr">
        <is>
          <t>No</t>
        </is>
      </c>
      <c r="L67" s="10" t="inlineStr">
        <is>
          <t>No</t>
        </is>
      </c>
      <c r="M67" s="10" t="inlineStr"/>
      <c r="N67" s="10">
        <f>IF(E67="","",IF(COUNTIF($E$4:$E$130,E67)&gt;1,"Duplicate",""))</f>
        <v/>
      </c>
      <c r="O67" s="10" t="inlineStr"/>
      <c r="P67" s="10" t="inlineStr">
        <is>
          <t>Medium</t>
        </is>
      </c>
      <c r="Q67" s="10" t="inlineStr">
        <is>
          <t>Needs verification</t>
        </is>
      </c>
    </row>
    <row r="68">
      <c r="A68" s="10" t="n">
        <v>65</v>
      </c>
      <c r="B68" s="10" t="inlineStr">
        <is>
          <t>Al-Juboori RA, Yusaf T, Bowtell L, Aravinthan V. (2015). Energy characterisation of ultrasonic systems for industrial processes. Ultrasonics, 57, 18-30. https://doi.org/10.1016/j.ultras.2014.10.003</t>
        </is>
      </c>
      <c r="C68" s="10" t="n">
        <v>2015</v>
      </c>
      <c r="D68" s="10" t="inlineStr">
        <is>
          <t>Energy characterisation of ultrasonic systems for industrial processes</t>
        </is>
      </c>
      <c r="E68" s="10" t="inlineStr">
        <is>
          <t>https://doi.org/10.1016/j.ultras.2014.10.003</t>
        </is>
      </c>
      <c r="F68" s="10" t="inlineStr">
        <is>
          <t>Power ultrasound applications / metrology</t>
        </is>
      </c>
      <c r="G68" s="10" t="inlineStr">
        <is>
          <t>Primary / research article</t>
        </is>
      </c>
      <c r="H68" s="10" t="inlineStr">
        <is>
          <t>No</t>
        </is>
      </c>
      <c r="I68" s="10" t="inlineStr">
        <is>
          <t>No</t>
        </is>
      </c>
      <c r="J68" s="10" t="inlineStr">
        <is>
          <t>No</t>
        </is>
      </c>
      <c r="K68" s="10" t="inlineStr">
        <is>
          <t>No</t>
        </is>
      </c>
      <c r="L68" s="10" t="inlineStr">
        <is>
          <t>No</t>
        </is>
      </c>
      <c r="M68" s="10" t="inlineStr"/>
      <c r="N68" s="10">
        <f>IF(E68="","",IF(COUNTIF($E$4:$E$130,E68)&gt;1,"Duplicate",""))</f>
        <v/>
      </c>
      <c r="O68" s="10" t="inlineStr"/>
      <c r="P68" s="10" t="inlineStr">
        <is>
          <t>Medium</t>
        </is>
      </c>
      <c r="Q68" s="10" t="inlineStr">
        <is>
          <t>Needs verification</t>
        </is>
      </c>
    </row>
    <row r="69">
      <c r="A69" s="10" t="n">
        <v>66</v>
      </c>
      <c r="B69" s="10" t="inlineStr">
        <is>
          <t>Mason TJ, Ghimpeteanu D, Călinescu I, Vinatoru M, Trifan A. (2024). A simple new approach for mapping an ultrasonic tank for sonochemistry. Ultrasonics Sonochemistry, 107, 106940. https://doi.org/10.1016/j.ultsonch.2024.106940</t>
        </is>
      </c>
      <c r="C69" s="10" t="n">
        <v>2024</v>
      </c>
      <c r="D69" s="10" t="inlineStr">
        <is>
          <t>A simple new approach for mapping an ultrasonic tank for sonochemistry</t>
        </is>
      </c>
      <c r="E69" s="10" t="inlineStr">
        <is>
          <t>https://doi.org/10.1016/j.ultsonch.2024.106940</t>
        </is>
      </c>
      <c r="F69" s="10" t="inlineStr">
        <is>
          <t>Power ultrasound applications / metrology</t>
        </is>
      </c>
      <c r="G69" s="10" t="inlineStr">
        <is>
          <t>Primary / research article</t>
        </is>
      </c>
      <c r="H69" s="10" t="inlineStr">
        <is>
          <t>Yes</t>
        </is>
      </c>
      <c r="I69" s="10" t="inlineStr">
        <is>
          <t>No</t>
        </is>
      </c>
      <c r="J69" s="10" t="inlineStr">
        <is>
          <t>No</t>
        </is>
      </c>
      <c r="K69" s="10" t="inlineStr">
        <is>
          <t>No</t>
        </is>
      </c>
      <c r="L69" s="10" t="inlineStr">
        <is>
          <t>No</t>
        </is>
      </c>
      <c r="M69" s="10" t="inlineStr"/>
      <c r="N69" s="10">
        <f>IF(E69="","",IF(COUNTIF($E$4:$E$130,E69)&gt;1,"Duplicate",""))</f>
        <v/>
      </c>
      <c r="O69" s="10" t="inlineStr"/>
      <c r="P69" s="10" t="inlineStr">
        <is>
          <t>Medium</t>
        </is>
      </c>
      <c r="Q69" s="10" t="inlineStr">
        <is>
          <t>Needs verification</t>
        </is>
      </c>
    </row>
    <row r="70">
      <c r="A70" s="10" t="n">
        <v>67</v>
      </c>
      <c r="B70" s="10" t="inlineStr">
        <is>
          <t>Patist A, Bates D. (2008). Ultrasonic innovations in the food industry: From the laboratory to commercial production. Innovative Food Science &amp; Emerging Technologies, 9(2), 147-154. https://doi.org/10.1016/j.ifset.2007.07.004</t>
        </is>
      </c>
      <c r="C70" s="10" t="n">
        <v>2008</v>
      </c>
      <c r="D70" s="10" t="inlineStr">
        <is>
          <t>Ultrasonic innovations in the food industry: From the laboratory to commercial production</t>
        </is>
      </c>
      <c r="E70" s="10" t="inlineStr">
        <is>
          <t>https://doi.org/10.1016/j.ifset.2007.07.004</t>
        </is>
      </c>
      <c r="F70" s="10" t="inlineStr">
        <is>
          <t>Power ultrasound applications / metrology</t>
        </is>
      </c>
      <c r="G70" s="10" t="inlineStr">
        <is>
          <t>Primary / research article</t>
        </is>
      </c>
      <c r="H70" s="10" t="inlineStr">
        <is>
          <t>No</t>
        </is>
      </c>
      <c r="I70" s="10" t="inlineStr">
        <is>
          <t>No</t>
        </is>
      </c>
      <c r="J70" s="10" t="inlineStr">
        <is>
          <t>No</t>
        </is>
      </c>
      <c r="K70" s="10" t="inlineStr">
        <is>
          <t>No</t>
        </is>
      </c>
      <c r="L70" s="10" t="inlineStr">
        <is>
          <t>No</t>
        </is>
      </c>
      <c r="M70" s="10" t="inlineStr"/>
      <c r="N70" s="10">
        <f>IF(E70="","",IF(COUNTIF($E$4:$E$130,E70)&gt;1,"Duplicate",""))</f>
        <v/>
      </c>
      <c r="O70" s="10" t="inlineStr"/>
      <c r="P70" s="10" t="inlineStr">
        <is>
          <t>Medium</t>
        </is>
      </c>
      <c r="Q70" s="10" t="inlineStr">
        <is>
          <t>Needs verification</t>
        </is>
      </c>
    </row>
    <row r="71">
      <c r="A71" s="10" t="n">
        <v>68</v>
      </c>
      <c r="B71" s="10" t="inlineStr">
        <is>
          <t>Chemat F, Rombaut N, Meullemiestre A, Turk M, Perino S, Fabiano-Tixier AS, et al. (2017). Review of Green Food Processing techniques. Preservation, transformation, and extraction. Innovative Food Science &amp; Emerging Technologies, 41, 357-377. https://doi.org/10.1016/j.ifset.2017.04.016</t>
        </is>
      </c>
      <c r="C71" s="10" t="n">
        <v>2017</v>
      </c>
      <c r="D71" s="10" t="inlineStr">
        <is>
          <t>Review of Green Food Processing techniques</t>
        </is>
      </c>
      <c r="E71" s="10" t="inlineStr">
        <is>
          <t>https://doi.org/10.1016/j.ifset.2017.04.016</t>
        </is>
      </c>
      <c r="F71" s="10" t="inlineStr">
        <is>
          <t>Power ultrasound applications / metrology</t>
        </is>
      </c>
      <c r="G71" s="10" t="inlineStr">
        <is>
          <t>Review</t>
        </is>
      </c>
      <c r="H71" s="10" t="inlineStr">
        <is>
          <t>No</t>
        </is>
      </c>
      <c r="I71" s="10" t="inlineStr">
        <is>
          <t>No</t>
        </is>
      </c>
      <c r="J71" s="10" t="inlineStr">
        <is>
          <t>No</t>
        </is>
      </c>
      <c r="K71" s="10" t="inlineStr">
        <is>
          <t>No</t>
        </is>
      </c>
      <c r="L71" s="10" t="inlineStr">
        <is>
          <t>No</t>
        </is>
      </c>
      <c r="M71" s="10" t="inlineStr"/>
      <c r="N71" s="10">
        <f>IF(E71="","",IF(COUNTIF($E$4:$E$130,E71)&gt;1,"Duplicate",""))</f>
        <v/>
      </c>
      <c r="O71" s="10" t="inlineStr"/>
      <c r="P71" s="10" t="inlineStr">
        <is>
          <t>Medium</t>
        </is>
      </c>
      <c r="Q71" s="10" t="inlineStr">
        <is>
          <t>Needs verification</t>
        </is>
      </c>
    </row>
    <row r="72">
      <c r="A72" s="10" t="n">
        <v>69</v>
      </c>
      <c r="B72" s="10" t="inlineStr">
        <is>
          <t>Umaña M, Calahorro M, Eim V, Rosselló C, Simal S. (2022). Measurement of microstructural changes promoted by ultrasound application on plant materials with different porosity. Ultrasonics Sonochemistry, 88, 106087. https://doi.org/10.1016/j.ultsonch.2022.106087</t>
        </is>
      </c>
      <c r="C72" s="10" t="n">
        <v>2022</v>
      </c>
      <c r="D72" s="10" t="inlineStr">
        <is>
          <t>Measurement of microstructural changes promoted by ultrasound application on plant materials with different porosity</t>
        </is>
      </c>
      <c r="E72" s="10" t="inlineStr">
        <is>
          <t>https://doi.org/10.1016/j.ultsonch.2022.106087</t>
        </is>
      </c>
      <c r="F72" s="10" t="inlineStr">
        <is>
          <t>Power ultrasound applications / metrology</t>
        </is>
      </c>
      <c r="G72" s="10" t="inlineStr">
        <is>
          <t>Primary / research article</t>
        </is>
      </c>
      <c r="H72" s="10" t="inlineStr">
        <is>
          <t>No</t>
        </is>
      </c>
      <c r="I72" s="10" t="inlineStr">
        <is>
          <t>No</t>
        </is>
      </c>
      <c r="J72" s="10" t="inlineStr">
        <is>
          <t>No</t>
        </is>
      </c>
      <c r="K72" s="10" t="inlineStr">
        <is>
          <t>No</t>
        </is>
      </c>
      <c r="L72" s="10" t="inlineStr">
        <is>
          <t>No</t>
        </is>
      </c>
      <c r="M72" s="10" t="inlineStr"/>
      <c r="N72" s="10">
        <f>IF(E72="","",IF(COUNTIF($E$4:$E$130,E72)&gt;1,"Duplicate",""))</f>
        <v/>
      </c>
      <c r="O72" s="10" t="inlineStr"/>
      <c r="P72" s="10" t="inlineStr">
        <is>
          <t>Medium</t>
        </is>
      </c>
      <c r="Q72" s="10" t="inlineStr">
        <is>
          <t>Needs verification</t>
        </is>
      </c>
    </row>
    <row r="73">
      <c r="A73" s="10" t="n">
        <v>70</v>
      </c>
      <c r="B73" s="10" t="inlineStr">
        <is>
          <t>Wang S, Li Y, Ma Z, Ma T, Fang Y, Wang X, et al. (2025). Ultrasound and its coupled oak blocks treatment based on absorbed energy density for comprehensive insight and scale-up consideration of phenolic and astringency profiles in red wines. Food Chemistry, 463, 141518. https://doi.org/10.1016/j.foodchem.2024.141518</t>
        </is>
      </c>
      <c r="C73" s="10" t="n">
        <v>2025</v>
      </c>
      <c r="D73" s="10" t="inlineStr">
        <is>
          <t>Ultrasound and its coupled oak blocks treatment based on absorbed energy density for comprehensive insight and scale-up consideration of phenolic and astringency profiles in red wines</t>
        </is>
      </c>
      <c r="E73" s="10" t="inlineStr">
        <is>
          <t>https://doi.org/10.1016/j.foodchem.2024.141518</t>
        </is>
      </c>
      <c r="F73" s="10" t="inlineStr">
        <is>
          <t>Power ultrasound applications / metrology</t>
        </is>
      </c>
      <c r="G73" s="10" t="inlineStr">
        <is>
          <t>Primary / research article</t>
        </is>
      </c>
      <c r="H73" s="10" t="inlineStr">
        <is>
          <t>Yes</t>
        </is>
      </c>
      <c r="I73" s="10" t="inlineStr">
        <is>
          <t>No</t>
        </is>
      </c>
      <c r="J73" s="10" t="inlineStr">
        <is>
          <t>No</t>
        </is>
      </c>
      <c r="K73" s="10" t="inlineStr">
        <is>
          <t>No</t>
        </is>
      </c>
      <c r="L73" s="10" t="inlineStr">
        <is>
          <t>No</t>
        </is>
      </c>
      <c r="M73" s="10" t="inlineStr"/>
      <c r="N73" s="10">
        <f>IF(E73="","",IF(COUNTIF($E$4:$E$130,E73)&gt;1,"Duplicate",""))</f>
        <v/>
      </c>
      <c r="O73" s="10" t="inlineStr"/>
      <c r="P73" s="10" t="inlineStr">
        <is>
          <t>Medium</t>
        </is>
      </c>
      <c r="Q73" s="10" t="inlineStr">
        <is>
          <t>Needs verification</t>
        </is>
      </c>
    </row>
    <row r="74">
      <c r="A74" s="10" t="n">
        <v>71</v>
      </c>
      <c r="B74" s="10" t="inlineStr">
        <is>
          <t>Fernandes FAN, Rodrigues S, Cárcel JA, García-Pérez JV. (2015). Ultrasound-Assisted Air-Drying of Apple (Malus domestica L.) and Its Effects on the Vitamin of the Dried Product. Food and Bioprocess Technology, 8(7), 1503-1511. https://doi.org/10.1007/s11947-015-1519-7</t>
        </is>
      </c>
      <c r="C74" s="10" t="n">
        <v>2015</v>
      </c>
      <c r="D74" s="10" t="inlineStr">
        <is>
          <t>Ultrasound-Assisted Air-Drying of Apple (Malus domestica L.) and Its Effects on the Vitamin of the Dried Product</t>
        </is>
      </c>
      <c r="E74" s="10" t="inlineStr">
        <is>
          <t>https://doi.org/10.1007/s11947-015-1519-7</t>
        </is>
      </c>
      <c r="F74" s="10" t="inlineStr">
        <is>
          <t>Power ultrasound applications / metrology</t>
        </is>
      </c>
      <c r="G74" s="10" t="inlineStr">
        <is>
          <t>Primary / research article</t>
        </is>
      </c>
      <c r="H74" s="10" t="inlineStr">
        <is>
          <t>No</t>
        </is>
      </c>
      <c r="I74" s="10" t="inlineStr">
        <is>
          <t>No</t>
        </is>
      </c>
      <c r="J74" s="10" t="inlineStr">
        <is>
          <t>No</t>
        </is>
      </c>
      <c r="K74" s="10" t="inlineStr">
        <is>
          <t>No</t>
        </is>
      </c>
      <c r="L74" s="10" t="inlineStr">
        <is>
          <t>No</t>
        </is>
      </c>
      <c r="M74" s="10" t="inlineStr"/>
      <c r="N74" s="10">
        <f>IF(E74="","",IF(COUNTIF($E$4:$E$130,E74)&gt;1,"Duplicate",""))</f>
        <v/>
      </c>
      <c r="O74" s="10" t="inlineStr"/>
      <c r="P74" s="10" t="inlineStr">
        <is>
          <t>Medium</t>
        </is>
      </c>
      <c r="Q74" s="10" t="inlineStr">
        <is>
          <t>Needs verification</t>
        </is>
      </c>
    </row>
    <row r="75">
      <c r="A75" s="10" t="n">
        <v>72</v>
      </c>
      <c r="B75" s="10" t="inlineStr">
        <is>
          <t>Anaya-Esparza LM, Velázquez-Estrada RM, Roig AX, García-Galindo HS, Sayago-Ayerdi SG, Montalvo-González E. (2017). Thermosonication: An alternative processing for fruit and vegetable juices. Trends in Food Science &amp; Technology, 61, 26-37. https://doi.org/10.1016/j.tifs.2016.11.020</t>
        </is>
      </c>
      <c r="C75" s="10" t="n">
        <v>2017</v>
      </c>
      <c r="D75" s="10" t="inlineStr">
        <is>
          <t>Thermosonication: An alternative processing for fruit and vegetable juices</t>
        </is>
      </c>
      <c r="E75" s="10" t="inlineStr">
        <is>
          <t>https://doi.org/10.1016/j.tifs.2016.11.020</t>
        </is>
      </c>
      <c r="F75" s="10" t="inlineStr">
        <is>
          <t>Power ultrasound applications / metrology</t>
        </is>
      </c>
      <c r="G75" s="10" t="inlineStr">
        <is>
          <t>Primary / research article</t>
        </is>
      </c>
      <c r="H75" s="10" t="inlineStr">
        <is>
          <t>No</t>
        </is>
      </c>
      <c r="I75" s="10" t="inlineStr">
        <is>
          <t>No</t>
        </is>
      </c>
      <c r="J75" s="10" t="inlineStr">
        <is>
          <t>No</t>
        </is>
      </c>
      <c r="K75" s="10" t="inlineStr">
        <is>
          <t>No</t>
        </is>
      </c>
      <c r="L75" s="10" t="inlineStr">
        <is>
          <t>No</t>
        </is>
      </c>
      <c r="M75" s="10" t="inlineStr"/>
      <c r="N75" s="10">
        <f>IF(E75="","",IF(COUNTIF($E$4:$E$130,E75)&gt;1,"Duplicate",""))</f>
        <v/>
      </c>
      <c r="O75" s="10" t="inlineStr"/>
      <c r="P75" s="10" t="inlineStr">
        <is>
          <t>Medium</t>
        </is>
      </c>
      <c r="Q75" s="10" t="inlineStr">
        <is>
          <t>Needs verification</t>
        </is>
      </c>
    </row>
    <row r="76">
      <c r="A76" s="10" t="n">
        <v>73</v>
      </c>
      <c r="B76" s="10" t="inlineStr">
        <is>
          <t>Van Impe J, Smet C, Tiwari B, Greiner R, Ojha S, Stulić V, et al. (2018). State of the art of nonthermal and thermal processing for inactivation of micro-organisms. Journal of Applied Microbiology, 125(1), 16-35. https://doi.org/10.1111/jam.13751</t>
        </is>
      </c>
      <c r="C76" s="10" t="n">
        <v>2018</v>
      </c>
      <c r="D76" s="10" t="inlineStr">
        <is>
          <t>State of the art of nonthermal and thermal processing for inactivation of micro-organisms</t>
        </is>
      </c>
      <c r="E76" s="10" t="inlineStr">
        <is>
          <t>https://doi.org/10.1111/jam.13751</t>
        </is>
      </c>
      <c r="F76" s="10" t="inlineStr">
        <is>
          <t>Power ultrasound applications / metrology</t>
        </is>
      </c>
      <c r="G76" s="10" t="inlineStr">
        <is>
          <t>Review</t>
        </is>
      </c>
      <c r="H76" s="10" t="inlineStr">
        <is>
          <t>No</t>
        </is>
      </c>
      <c r="I76" s="10" t="inlineStr">
        <is>
          <t>No</t>
        </is>
      </c>
      <c r="J76" s="10" t="inlineStr">
        <is>
          <t>No</t>
        </is>
      </c>
      <c r="K76" s="10" t="inlineStr">
        <is>
          <t>No</t>
        </is>
      </c>
      <c r="L76" s="10" t="inlineStr">
        <is>
          <t>No</t>
        </is>
      </c>
      <c r="M76" s="10" t="inlineStr"/>
      <c r="N76" s="10">
        <f>IF(E76="","",IF(COUNTIF($E$4:$E$130,E76)&gt;1,"Duplicate",""))</f>
        <v/>
      </c>
      <c r="O76" s="10" t="inlineStr"/>
      <c r="P76" s="10" t="inlineStr">
        <is>
          <t>Medium</t>
        </is>
      </c>
      <c r="Q76" s="10" t="inlineStr">
        <is>
          <t>Needs verification</t>
        </is>
      </c>
    </row>
    <row r="77">
      <c r="A77" s="10" t="n">
        <v>74</v>
      </c>
      <c r="B77" s="10" t="inlineStr">
        <is>
          <t>Barba FJ, Koubaa M, do Prado-Silva L, Orlien V, Sant’Ana ADS. (2017). Mild processing applied to the inactivation of the main foodborne bacterial pathogens: A review. Trends in Food Science &amp; Technology, 66, 20-35. https://doi.org/10.1016/j.tifs.2017.05.011</t>
        </is>
      </c>
      <c r="C77" s="10" t="n">
        <v>2017</v>
      </c>
      <c r="D77" s="10" t="inlineStr">
        <is>
          <t>Mild processing applied to the inactivation of the main foodborne bacterial pathogens: A review</t>
        </is>
      </c>
      <c r="E77" s="10" t="inlineStr">
        <is>
          <t>https://doi.org/10.1016/j.tifs.2017.05.011</t>
        </is>
      </c>
      <c r="F77" s="10" t="inlineStr">
        <is>
          <t>Power ultrasound applications / metrology</t>
        </is>
      </c>
      <c r="G77" s="10" t="inlineStr">
        <is>
          <t>Review</t>
        </is>
      </c>
      <c r="H77" s="10" t="inlineStr">
        <is>
          <t>No</t>
        </is>
      </c>
      <c r="I77" s="10" t="inlineStr">
        <is>
          <t>No</t>
        </is>
      </c>
      <c r="J77" s="10" t="inlineStr">
        <is>
          <t>No</t>
        </is>
      </c>
      <c r="K77" s="10" t="inlineStr">
        <is>
          <t>No</t>
        </is>
      </c>
      <c r="L77" s="10" t="inlineStr">
        <is>
          <t>No</t>
        </is>
      </c>
      <c r="M77" s="10" t="inlineStr"/>
      <c r="N77" s="10">
        <f>IF(E77="","",IF(COUNTIF($E$4:$E$130,E77)&gt;1,"Duplicate",""))</f>
        <v/>
      </c>
      <c r="O77" s="10" t="inlineStr"/>
      <c r="P77" s="10" t="inlineStr">
        <is>
          <t>Medium</t>
        </is>
      </c>
      <c r="Q77" s="10" t="inlineStr">
        <is>
          <t>Needs verification</t>
        </is>
      </c>
    </row>
    <row r="78">
      <c r="A78" s="10" t="n">
        <v>75</v>
      </c>
      <c r="B78" s="10" t="inlineStr">
        <is>
          <t>P. Armstrong, H. R. Zapp, G. K. Brown. (1990). IMPULSIVE EXCITATION OF ACOUSTIC VIBRATIONS IN APPLES FOR FIRMNESS DETERMINATION. Transactions of the ASAE, 33(4), 1353-1359. https://doi.org/10.13031/2013.31480</t>
        </is>
      </c>
      <c r="C78" s="10" t="n">
        <v>1990</v>
      </c>
      <c r="D78" s="10" t="inlineStr">
        <is>
          <t>R</t>
        </is>
      </c>
      <c r="E78" s="10" t="inlineStr">
        <is>
          <t>https://doi.org/10.13031/2013.31480</t>
        </is>
      </c>
      <c r="F78" s="10" t="inlineStr">
        <is>
          <t>Acoustic firmness sensing / reviews</t>
        </is>
      </c>
      <c r="G78" s="10" t="inlineStr">
        <is>
          <t>Primary / research article</t>
        </is>
      </c>
      <c r="H78" s="10" t="inlineStr">
        <is>
          <t>No</t>
        </is>
      </c>
      <c r="I78" s="10" t="inlineStr">
        <is>
          <t>No</t>
        </is>
      </c>
      <c r="J78" s="10" t="inlineStr">
        <is>
          <t>No</t>
        </is>
      </c>
      <c r="K78" s="10" t="inlineStr">
        <is>
          <t>No</t>
        </is>
      </c>
      <c r="L78" s="10" t="inlineStr">
        <is>
          <t>No</t>
        </is>
      </c>
      <c r="M78" s="10" t="inlineStr"/>
      <c r="N78" s="10">
        <f>IF(E78="","",IF(COUNTIF($E$4:$E$130,E78)&gt;1,"Duplicate",""))</f>
        <v/>
      </c>
      <c r="O78" s="10" t="inlineStr"/>
      <c r="P78" s="10" t="inlineStr">
        <is>
          <t>Medium</t>
        </is>
      </c>
      <c r="Q78" s="10" t="inlineStr">
        <is>
          <t>Needs verification</t>
        </is>
      </c>
    </row>
    <row r="79">
      <c r="A79" s="10" t="n">
        <v>76</v>
      </c>
      <c r="B79" s="10" t="inlineStr">
        <is>
          <t>D. Rosenfeld, I. Shmulevich, G. Rosenhouse. (1992). Three Dimensional Simulation of the Acoustic Response of Fruit for Firmness Sorting. Transactions of the ASAE, 35(4), 1267-1274. https://doi.org/10.13031/2013.28729</t>
        </is>
      </c>
      <c r="C79" s="10" t="n">
        <v>1992</v>
      </c>
      <c r="D79" s="10" t="inlineStr">
        <is>
          <t>Shmulevich</t>
        </is>
      </c>
      <c r="E79" s="10" t="inlineStr">
        <is>
          <t>https://doi.org/10.13031/2013.28729</t>
        </is>
      </c>
      <c r="F79" s="10" t="inlineStr">
        <is>
          <t>Acoustic firmness sensing / reviews</t>
        </is>
      </c>
      <c r="G79" s="10" t="inlineStr">
        <is>
          <t>Primary / research article</t>
        </is>
      </c>
      <c r="H79" s="10" t="inlineStr">
        <is>
          <t>No</t>
        </is>
      </c>
      <c r="I79" s="10" t="inlineStr">
        <is>
          <t>No</t>
        </is>
      </c>
      <c r="J79" s="10" t="inlineStr">
        <is>
          <t>No</t>
        </is>
      </c>
      <c r="K79" s="10" t="inlineStr">
        <is>
          <t>No</t>
        </is>
      </c>
      <c r="L79" s="10" t="inlineStr">
        <is>
          <t>No</t>
        </is>
      </c>
      <c r="M79" s="10" t="inlineStr"/>
      <c r="N79" s="10">
        <f>IF(E79="","",IF(COUNTIF($E$4:$E$130,E79)&gt;1,"Duplicate",""))</f>
        <v/>
      </c>
      <c r="O79" s="10" t="inlineStr"/>
      <c r="P79" s="10" t="inlineStr">
        <is>
          <t>Medium</t>
        </is>
      </c>
      <c r="Q79" s="10" t="inlineStr">
        <is>
          <t>Needs verification</t>
        </is>
      </c>
    </row>
    <row r="80">
      <c r="A80" s="10" t="n">
        <v>77</v>
      </c>
      <c r="B80" s="10" t="inlineStr">
        <is>
          <t>J. A. Abbott, D. R. Massie, B. L. Upchurch, W. R. Hruschka. (1995). Nondestructive Sonic Firmness Measurement of Apples. Transactions of the ASAE, 38(5), 1461-1466. https://doi.org/10.13031/2013.27971</t>
        </is>
      </c>
      <c r="C80" s="10" t="n">
        <v>1995</v>
      </c>
      <c r="D80" s="10" t="inlineStr">
        <is>
          <t>Abbott</t>
        </is>
      </c>
      <c r="E80" s="10" t="inlineStr">
        <is>
          <t>https://doi.org/10.13031/2013.27971</t>
        </is>
      </c>
      <c r="F80" s="10" t="inlineStr">
        <is>
          <t>Acoustic firmness sensing / reviews</t>
        </is>
      </c>
      <c r="G80" s="10" t="inlineStr">
        <is>
          <t>Primary / research article</t>
        </is>
      </c>
      <c r="H80" s="10" t="inlineStr">
        <is>
          <t>No</t>
        </is>
      </c>
      <c r="I80" s="10" t="inlineStr">
        <is>
          <t>No</t>
        </is>
      </c>
      <c r="J80" s="10" t="inlineStr">
        <is>
          <t>No</t>
        </is>
      </c>
      <c r="K80" s="10" t="inlineStr">
        <is>
          <t>No</t>
        </is>
      </c>
      <c r="L80" s="10" t="inlineStr">
        <is>
          <t>No</t>
        </is>
      </c>
      <c r="M80" s="10" t="inlineStr"/>
      <c r="N80" s="10">
        <f>IF(E80="","",IF(COUNTIF($E$4:$E$130,E80)&gt;1,"Duplicate",""))</f>
        <v/>
      </c>
      <c r="O80" s="10" t="inlineStr"/>
      <c r="P80" s="10" t="inlineStr">
        <is>
          <t>Medium</t>
        </is>
      </c>
      <c r="Q80" s="10" t="inlineStr">
        <is>
          <t>Needs verification</t>
        </is>
      </c>
    </row>
    <row r="81">
      <c r="A81" s="10" t="n">
        <v>78</v>
      </c>
      <c r="B81" s="10" t="inlineStr">
        <is>
          <t>Schotte S, De Belie N, De Baerdemaeker J. (1999). Acoustic impulse-response technique for evaluation and modelling of firmness of tomato fruit. Postharvest Biology and Technology, 17(2), 105-115. https://doi.org/10.1016/S0925-5214(99)00041-1</t>
        </is>
      </c>
      <c r="C81" s="10" t="n">
        <v>1999</v>
      </c>
      <c r="D81" s="10" t="inlineStr">
        <is>
          <t>Acoustic impulse-response technique for evaluation and modelling of firmness of tomato fruit</t>
        </is>
      </c>
      <c r="E81" s="10" t="inlineStr">
        <is>
          <t>https://doi.org/10.1016/S0925-5214(99)00041-1</t>
        </is>
      </c>
      <c r="F81" s="10" t="inlineStr">
        <is>
          <t>Acoustic firmness sensing / reviews</t>
        </is>
      </c>
      <c r="G81" s="10" t="inlineStr">
        <is>
          <t>Primary / research article</t>
        </is>
      </c>
      <c r="H81" s="10" t="inlineStr">
        <is>
          <t>No</t>
        </is>
      </c>
      <c r="I81" s="10" t="inlineStr">
        <is>
          <t>No</t>
        </is>
      </c>
      <c r="J81" s="10" t="inlineStr">
        <is>
          <t>No</t>
        </is>
      </c>
      <c r="K81" s="10" t="inlineStr">
        <is>
          <t>No</t>
        </is>
      </c>
      <c r="L81" s="10" t="inlineStr">
        <is>
          <t>No</t>
        </is>
      </c>
      <c r="M81" s="10" t="inlineStr"/>
      <c r="N81" s="10">
        <f>IF(E81="","",IF(COUNTIF($E$4:$E$130,E81)&gt;1,"Duplicate",""))</f>
        <v/>
      </c>
      <c r="O81" s="10" t="inlineStr"/>
      <c r="P81" s="10" t="inlineStr">
        <is>
          <t>Medium</t>
        </is>
      </c>
      <c r="Q81" s="10" t="inlineStr">
        <is>
          <t>Needs verification</t>
        </is>
      </c>
    </row>
    <row r="82">
      <c r="A82" s="10" t="n">
        <v>79</v>
      </c>
      <c r="B82" s="10" t="inlineStr">
        <is>
          <t>Oveisi Z, Minaei S, Rafiee S, Eyvani A, Borghei A. (2014). Application of vibration response technique for the firmness evaluation of pear fruit during storage. Journal of Food Science and Technology, 51(11), 3261-3268. https://doi.org/10.1007/s13197-012-0811-z</t>
        </is>
      </c>
      <c r="C82" s="10" t="n">
        <v>2014</v>
      </c>
      <c r="D82" s="10" t="inlineStr">
        <is>
          <t>Application of vibration response technique for the firmness evaluation of pear fruit during storage</t>
        </is>
      </c>
      <c r="E82" s="10" t="inlineStr">
        <is>
          <t>https://doi.org/10.1007/s13197-012-0811-z</t>
        </is>
      </c>
      <c r="F82" s="10" t="inlineStr">
        <is>
          <t>Acoustic firmness sensing / reviews</t>
        </is>
      </c>
      <c r="G82" s="10" t="inlineStr">
        <is>
          <t>Primary / research article</t>
        </is>
      </c>
      <c r="H82" s="10" t="inlineStr">
        <is>
          <t>No</t>
        </is>
      </c>
      <c r="I82" s="10" t="inlineStr">
        <is>
          <t>No</t>
        </is>
      </c>
      <c r="J82" s="10" t="inlineStr">
        <is>
          <t>No</t>
        </is>
      </c>
      <c r="K82" s="10" t="inlineStr">
        <is>
          <t>No</t>
        </is>
      </c>
      <c r="L82" s="10" t="inlineStr">
        <is>
          <t>No</t>
        </is>
      </c>
      <c r="M82" s="10" t="inlineStr"/>
      <c r="N82" s="10">
        <f>IF(E82="","",IF(COUNTIF($E$4:$E$130,E82)&gt;1,"Duplicate",""))</f>
        <v/>
      </c>
      <c r="O82" s="10" t="inlineStr"/>
      <c r="P82" s="10" t="inlineStr">
        <is>
          <t>Medium</t>
        </is>
      </c>
      <c r="Q82" s="10" t="inlineStr">
        <is>
          <t>Needs verification</t>
        </is>
      </c>
    </row>
    <row r="83">
      <c r="A83" s="10" t="n">
        <v>80</v>
      </c>
      <c r="B83" s="10" t="inlineStr">
        <is>
          <t>Fathizadeh Z, Aboonajmi M, Beygi SRH. (2020). Nondestructive firmness prediction of apple fruit using acoustic vibration response. Scientia Horticulturae, 262, 109073. https://doi.org/10.1016/j.scienta.2019.109073</t>
        </is>
      </c>
      <c r="C83" s="10" t="n">
        <v>2020</v>
      </c>
      <c r="D83" s="10" t="inlineStr">
        <is>
          <t>Nondestructive firmness prediction of apple fruit using acoustic vibration response</t>
        </is>
      </c>
      <c r="E83" s="10" t="inlineStr">
        <is>
          <t>https://doi.org/10.1016/j.scienta.2019.109073</t>
        </is>
      </c>
      <c r="F83" s="10" t="inlineStr">
        <is>
          <t>Acoustic firmness sensing / reviews</t>
        </is>
      </c>
      <c r="G83" s="10" t="inlineStr">
        <is>
          <t>Primary / research article</t>
        </is>
      </c>
      <c r="H83" s="10" t="inlineStr">
        <is>
          <t>No</t>
        </is>
      </c>
      <c r="I83" s="10" t="inlineStr">
        <is>
          <t>No</t>
        </is>
      </c>
      <c r="J83" s="10" t="inlineStr">
        <is>
          <t>No</t>
        </is>
      </c>
      <c r="K83" s="10" t="inlineStr">
        <is>
          <t>No</t>
        </is>
      </c>
      <c r="L83" s="10" t="inlineStr">
        <is>
          <t>No</t>
        </is>
      </c>
      <c r="M83" s="10" t="inlineStr"/>
      <c r="N83" s="10">
        <f>IF(E83="","",IF(COUNTIF($E$4:$E$130,E83)&gt;1,"Duplicate",""))</f>
        <v/>
      </c>
      <c r="O83" s="10" t="inlineStr"/>
      <c r="P83" s="10" t="inlineStr">
        <is>
          <t>Medium</t>
        </is>
      </c>
      <c r="Q83" s="10" t="inlineStr">
        <is>
          <t>Needs verification</t>
        </is>
      </c>
    </row>
    <row r="84">
      <c r="A84" s="10" t="n">
        <v>81</v>
      </c>
      <c r="B84" s="10" t="inlineStr">
        <is>
          <t>Fruk G, Jemric T. (2012). ACOUSTIC IMPULSE METHOD CANNOT DETERMINE NECTARINE FRUIT QUALITY. Acta Horticulturae(934), 133-138. https://doi.org/10.17660/ActaHortic.2012.934.14</t>
        </is>
      </c>
      <c r="C84" s="10" t="n">
        <v>2012</v>
      </c>
      <c r="D84" s="10" t="inlineStr">
        <is>
          <t>ACOUSTIC IMPULSE METHOD CANNOT DETERMINE NECTARINE FRUIT QUALITY</t>
        </is>
      </c>
      <c r="E84" s="10" t="inlineStr">
        <is>
          <t>https://doi.org/10.17660/ActaHortic.2012.934.14</t>
        </is>
      </c>
      <c r="F84" s="10" t="inlineStr">
        <is>
          <t>Acoustic firmness sensing / reviews</t>
        </is>
      </c>
      <c r="G84" s="10" t="inlineStr">
        <is>
          <t>Primary / research article</t>
        </is>
      </c>
      <c r="H84" s="10" t="inlineStr">
        <is>
          <t>No</t>
        </is>
      </c>
      <c r="I84" s="10" t="inlineStr">
        <is>
          <t>No</t>
        </is>
      </c>
      <c r="J84" s="10" t="inlineStr">
        <is>
          <t>No</t>
        </is>
      </c>
      <c r="K84" s="10" t="inlineStr">
        <is>
          <t>No</t>
        </is>
      </c>
      <c r="L84" s="10" t="inlineStr">
        <is>
          <t>No</t>
        </is>
      </c>
      <c r="M84" s="10" t="inlineStr"/>
      <c r="N84" s="10">
        <f>IF(E84="","",IF(COUNTIF($E$4:$E$130,E84)&gt;1,"Duplicate",""))</f>
        <v/>
      </c>
      <c r="O84" s="10" t="inlineStr"/>
      <c r="P84" s="10" t="inlineStr">
        <is>
          <t>Medium</t>
        </is>
      </c>
      <c r="Q84" s="10" t="inlineStr">
        <is>
          <t>Needs verification</t>
        </is>
      </c>
    </row>
    <row r="85">
      <c r="A85" s="10" t="n">
        <v>82</v>
      </c>
      <c r="B85" s="10" t="inlineStr">
        <is>
          <t>Nicolaï BM, Defraeye T, De Ketelaere B, Herremans E, Hertog MLATM, Saeys W, et al. (2014). Nondestructive Measurement of Fruit and Vegetable Quality. Annual Review of Food Science and Technology, 5(1), 285-312. https://doi.org/10.1146/annurev-food-030713-092410</t>
        </is>
      </c>
      <c r="C85" s="10" t="n">
        <v>2014</v>
      </c>
      <c r="D85" s="10" t="inlineStr">
        <is>
          <t>Nondestructive Measurement of Fruit and Vegetable Quality</t>
        </is>
      </c>
      <c r="E85" s="10" t="inlineStr">
        <is>
          <t>https://doi.org/10.1146/annurev-food-030713-092410</t>
        </is>
      </c>
      <c r="F85" s="10" t="inlineStr">
        <is>
          <t>Acoustic firmness sensing / reviews</t>
        </is>
      </c>
      <c r="G85" s="10" t="inlineStr">
        <is>
          <t>Review</t>
        </is>
      </c>
      <c r="H85" s="10" t="inlineStr">
        <is>
          <t>No</t>
        </is>
      </c>
      <c r="I85" s="10" t="inlineStr">
        <is>
          <t>No</t>
        </is>
      </c>
      <c r="J85" s="10" t="inlineStr">
        <is>
          <t>No</t>
        </is>
      </c>
      <c r="K85" s="10" t="inlineStr">
        <is>
          <t>No</t>
        </is>
      </c>
      <c r="L85" s="10" t="inlineStr">
        <is>
          <t>No</t>
        </is>
      </c>
      <c r="M85" s="10" t="inlineStr"/>
      <c r="N85" s="10">
        <f>IF(E85="","",IF(COUNTIF($E$4:$E$130,E85)&gt;1,"Duplicate",""))</f>
        <v/>
      </c>
      <c r="O85" s="10" t="inlineStr"/>
      <c r="P85" s="10" t="inlineStr">
        <is>
          <t>Medium</t>
        </is>
      </c>
      <c r="Q85" s="10" t="inlineStr">
        <is>
          <t>Needs verification</t>
        </is>
      </c>
    </row>
    <row r="86">
      <c r="A86" s="10" t="n">
        <v>83</v>
      </c>
      <c r="B86" s="10" t="inlineStr">
        <is>
          <t>Zhang W, Lv Z, Xiong S. (2018). Nondestructive quality evaluation of agro-products using acoustic vibration methods—A review. Critical Reviews in Food Science and Nutrition, 58(14), 2386-2397. https://doi.org/10.1080/10408398.2017.1324830</t>
        </is>
      </c>
      <c r="C86" s="10" t="n">
        <v>2018</v>
      </c>
      <c r="D86" s="10" t="inlineStr">
        <is>
          <t>Nondestructive quality evaluation of agro-products using acoustic vibration methods—A review</t>
        </is>
      </c>
      <c r="E86" s="10" t="inlineStr">
        <is>
          <t>https://doi.org/10.1080/10408398.2017.1324830</t>
        </is>
      </c>
      <c r="F86" s="10" t="inlineStr">
        <is>
          <t>Acoustic firmness sensing / reviews</t>
        </is>
      </c>
      <c r="G86" s="10" t="inlineStr">
        <is>
          <t>Review</t>
        </is>
      </c>
      <c r="H86" s="10" t="inlineStr">
        <is>
          <t>No</t>
        </is>
      </c>
      <c r="I86" s="10" t="inlineStr">
        <is>
          <t>No</t>
        </is>
      </c>
      <c r="J86" s="10" t="inlineStr">
        <is>
          <t>No</t>
        </is>
      </c>
      <c r="K86" s="10" t="inlineStr">
        <is>
          <t>No</t>
        </is>
      </c>
      <c r="L86" s="10" t="inlineStr">
        <is>
          <t>No</t>
        </is>
      </c>
      <c r="M86" s="10" t="inlineStr"/>
      <c r="N86" s="10">
        <f>IF(E86="","",IF(COUNTIF($E$4:$E$130,E86)&gt;1,"Duplicate",""))</f>
        <v/>
      </c>
      <c r="O86" s="10" t="inlineStr"/>
      <c r="P86" s="10" t="inlineStr">
        <is>
          <t>Medium</t>
        </is>
      </c>
      <c r="Q86" s="10" t="inlineStr">
        <is>
          <t>Needs verification</t>
        </is>
      </c>
    </row>
    <row r="87">
      <c r="A87" s="10" t="n">
        <v>84</v>
      </c>
      <c r="B87" s="10" t="inlineStr">
        <is>
          <t>Ding C, Feng Z, Wang D, Cui D, Li W. (2021). Acoustic vibration technology: Toward a promising fruit quality detection method. Comprehensive Reviews in Food Science and Food Safety, 20(2), 1655-1680. https://doi.org/10.1111/1541-4337.12722</t>
        </is>
      </c>
      <c r="C87" s="10" t="n">
        <v>2021</v>
      </c>
      <c r="D87" s="10" t="inlineStr">
        <is>
          <t>Acoustic vibration technology: Toward a promising fruit quality detection method</t>
        </is>
      </c>
      <c r="E87" s="10" t="inlineStr">
        <is>
          <t>https://doi.org/10.1111/1541-4337.12722</t>
        </is>
      </c>
      <c r="F87" s="10" t="inlineStr">
        <is>
          <t>Acoustic firmness sensing / reviews</t>
        </is>
      </c>
      <c r="G87" s="10" t="inlineStr">
        <is>
          <t>Review</t>
        </is>
      </c>
      <c r="H87" s="10" t="inlineStr">
        <is>
          <t>No</t>
        </is>
      </c>
      <c r="I87" s="10" t="inlineStr">
        <is>
          <t>No</t>
        </is>
      </c>
      <c r="J87" s="10" t="inlineStr">
        <is>
          <t>No</t>
        </is>
      </c>
      <c r="K87" s="10" t="inlineStr">
        <is>
          <t>No</t>
        </is>
      </c>
      <c r="L87" s="10" t="inlineStr">
        <is>
          <t>No</t>
        </is>
      </c>
      <c r="M87" s="10" t="inlineStr"/>
      <c r="N87" s="10">
        <f>IF(E87="","",IF(COUNTIF($E$4:$E$130,E87)&gt;1,"Duplicate",""))</f>
        <v/>
      </c>
      <c r="O87" s="10" t="inlineStr"/>
      <c r="P87" s="10" t="inlineStr">
        <is>
          <t>Medium</t>
        </is>
      </c>
      <c r="Q87" s="10" t="inlineStr">
        <is>
          <t>Needs verification</t>
        </is>
      </c>
    </row>
    <row r="88">
      <c r="A88" s="10" t="n">
        <v>85</v>
      </c>
      <c r="B88" s="10" t="inlineStr">
        <is>
          <t>Nakagawa Y, Katagiri T, Shinozaki K, Qi Z, Tatsumi H, Furuichi T, et al. (2007). Arabidopsis plasma membrane protein crucial for Ca 2+ influx and touch sensing in roots. Proceedings of the National Academy of Sciences, 104(9), 3639-3644. https://doi.org/10.1073/pnas.0607703104</t>
        </is>
      </c>
      <c r="C88" s="10" t="n">
        <v>2007</v>
      </c>
      <c r="D88" s="10" t="inlineStr">
        <is>
          <t>Arabidopsis plasma membrane protein crucial for Ca 2+ influx and touch sensing in roots</t>
        </is>
      </c>
      <c r="E88" s="10" t="inlineStr">
        <is>
          <t>https://doi.org/10.1073/pnas.0607703104</t>
        </is>
      </c>
      <c r="F88" s="10" t="inlineStr">
        <is>
          <t>Mechanobiology / plant sound response</t>
        </is>
      </c>
      <c r="G88" s="10" t="inlineStr">
        <is>
          <t>Primary / research article</t>
        </is>
      </c>
      <c r="H88" s="10" t="inlineStr">
        <is>
          <t>No</t>
        </is>
      </c>
      <c r="I88" s="10" t="inlineStr">
        <is>
          <t>No</t>
        </is>
      </c>
      <c r="J88" s="10" t="inlineStr">
        <is>
          <t>No</t>
        </is>
      </c>
      <c r="K88" s="10" t="inlineStr">
        <is>
          <t>No</t>
        </is>
      </c>
      <c r="L88" s="10" t="inlineStr">
        <is>
          <t>No</t>
        </is>
      </c>
      <c r="M88" s="10" t="inlineStr"/>
      <c r="N88" s="10">
        <f>IF(E88="","",IF(COUNTIF($E$4:$E$130,E88)&gt;1,"Duplicate",""))</f>
        <v/>
      </c>
      <c r="O88" s="10" t="inlineStr"/>
      <c r="P88" s="10" t="inlineStr">
        <is>
          <t>Medium</t>
        </is>
      </c>
      <c r="Q88" s="10" t="inlineStr">
        <is>
          <t>Needs verification</t>
        </is>
      </c>
    </row>
    <row r="89">
      <c r="A89" s="10" t="n">
        <v>86</v>
      </c>
      <c r="B89" s="10" t="inlineStr">
        <is>
          <t>Monshausen GB, Bibikova TN, Weisenseel MH, Gilroy S. (2009). Ca2+ Regulates Reactive Oxygen Species Production and pH during Mechanosensing in Arabidopsis Roots. The Plant Cell, 21(8), 2341-2356. https://doi.org/10.1105/tpc.109.068395</t>
        </is>
      </c>
      <c r="C89" s="10" t="n">
        <v>2009</v>
      </c>
      <c r="D89" s="10" t="inlineStr">
        <is>
          <t>Ca2+ Regulates Reactive Oxygen Species Production and pH during Mechanosensing in Arabidopsis Roots</t>
        </is>
      </c>
      <c r="E89" s="10" t="inlineStr">
        <is>
          <t>https://doi.org/10.1105/tpc.109.068395</t>
        </is>
      </c>
      <c r="F89" s="10" t="inlineStr">
        <is>
          <t>Mechanobiology / plant sound response</t>
        </is>
      </c>
      <c r="G89" s="10" t="inlineStr">
        <is>
          <t>Primary / research article</t>
        </is>
      </c>
      <c r="H89" s="10" t="inlineStr">
        <is>
          <t>No</t>
        </is>
      </c>
      <c r="I89" s="10" t="inlineStr">
        <is>
          <t>No</t>
        </is>
      </c>
      <c r="J89" s="10" t="inlineStr">
        <is>
          <t>No</t>
        </is>
      </c>
      <c r="K89" s="10" t="inlineStr">
        <is>
          <t>No</t>
        </is>
      </c>
      <c r="L89" s="10" t="inlineStr">
        <is>
          <t>No</t>
        </is>
      </c>
      <c r="M89" s="10" t="inlineStr"/>
      <c r="N89" s="10">
        <f>IF(E89="","",IF(COUNTIF($E$4:$E$130,E89)&gt;1,"Duplicate",""))</f>
        <v/>
      </c>
      <c r="O89" s="10" t="inlineStr"/>
      <c r="P89" s="10" t="inlineStr">
        <is>
          <t>Medium</t>
        </is>
      </c>
      <c r="Q89" s="10" t="inlineStr">
        <is>
          <t>Needs verification</t>
        </is>
      </c>
    </row>
    <row r="90">
      <c r="A90" s="10" t="n">
        <v>87</v>
      </c>
      <c r="B90" s="10" t="inlineStr">
        <is>
          <t>Yoshimura K, Iida K, Iida H. (2021). MCAs in Arabidopsis are Ca2+-permeable mechanosensitive channels inherently sensitive to membrane tension. Nature Communications, 12(1), 6074. https://doi.org/10.1038/s41467-021-26363-z</t>
        </is>
      </c>
      <c r="C90" s="10" t="n">
        <v>2021</v>
      </c>
      <c r="D90" s="10" t="inlineStr">
        <is>
          <t>MCAs in Arabidopsis are Ca2+-permeable mechanosensitive channels inherently sensitive to membrane tension</t>
        </is>
      </c>
      <c r="E90" s="10" t="inlineStr">
        <is>
          <t>https://doi.org/10.1038/s41467-021-26363-z</t>
        </is>
      </c>
      <c r="F90" s="10" t="inlineStr">
        <is>
          <t>Mechanobiology / plant sound response</t>
        </is>
      </c>
      <c r="G90" s="10" t="inlineStr">
        <is>
          <t>Primary / research article</t>
        </is>
      </c>
      <c r="H90" s="10" t="inlineStr">
        <is>
          <t>No</t>
        </is>
      </c>
      <c r="I90" s="10" t="inlineStr">
        <is>
          <t>No</t>
        </is>
      </c>
      <c r="J90" s="10" t="inlineStr">
        <is>
          <t>No</t>
        </is>
      </c>
      <c r="K90" s="10" t="inlineStr">
        <is>
          <t>No</t>
        </is>
      </c>
      <c r="L90" s="10" t="inlineStr">
        <is>
          <t>No</t>
        </is>
      </c>
      <c r="M90" s="10" t="inlineStr"/>
      <c r="N90" s="10">
        <f>IF(E90="","",IF(COUNTIF($E$4:$E$130,E90)&gt;1,"Duplicate",""))</f>
        <v/>
      </c>
      <c r="O90" s="10" t="inlineStr"/>
      <c r="P90" s="10" t="inlineStr">
        <is>
          <t>Medium</t>
        </is>
      </c>
      <c r="Q90" s="10" t="inlineStr">
        <is>
          <t>Needs verification</t>
        </is>
      </c>
    </row>
    <row r="91">
      <c r="A91" s="10" t="n">
        <v>88</v>
      </c>
      <c r="B91" s="10" t="inlineStr">
        <is>
          <t>Ghosh R, Mishra RC, Choi B, Kwon YS, Bae DW, Park SC, et al. (2016). Exposure to Sound Vibrations Lead to Transcriptomic, Proteomic and Hormonal Changes in Arabidopsis. Scientific Reports, 6(1), 33370. https://doi.org/10.1038/srep33370</t>
        </is>
      </c>
      <c r="C91" s="10" t="n">
        <v>2016</v>
      </c>
      <c r="D91" s="10" t="inlineStr">
        <is>
          <t>Exposure to Sound Vibrations Lead to Transcriptomic</t>
        </is>
      </c>
      <c r="E91" s="10" t="inlineStr">
        <is>
          <t>https://doi.org/10.1038/srep33370</t>
        </is>
      </c>
      <c r="F91" s="10" t="inlineStr">
        <is>
          <t>Mechanobiology / plant sound response</t>
        </is>
      </c>
      <c r="G91" s="10" t="inlineStr">
        <is>
          <t>Primary / research article</t>
        </is>
      </c>
      <c r="H91" s="10" t="inlineStr">
        <is>
          <t>No</t>
        </is>
      </c>
      <c r="I91" s="10" t="inlineStr">
        <is>
          <t>No</t>
        </is>
      </c>
      <c r="J91" s="10" t="inlineStr">
        <is>
          <t>No</t>
        </is>
      </c>
      <c r="K91" s="10" t="inlineStr">
        <is>
          <t>No</t>
        </is>
      </c>
      <c r="L91" s="10" t="inlineStr">
        <is>
          <t>No</t>
        </is>
      </c>
      <c r="M91" s="10" t="inlineStr"/>
      <c r="N91" s="10">
        <f>IF(E91="","",IF(COUNTIF($E$4:$E$130,E91)&gt;1,"Duplicate",""))</f>
        <v/>
      </c>
      <c r="O91" s="10" t="inlineStr"/>
      <c r="P91" s="10" t="inlineStr">
        <is>
          <t>Medium</t>
        </is>
      </c>
      <c r="Q91" s="10" t="inlineStr">
        <is>
          <t>Needs verification</t>
        </is>
      </c>
    </row>
    <row r="92">
      <c r="A92" s="10" t="n">
        <v>89</v>
      </c>
      <c r="B92" s="10" t="inlineStr">
        <is>
          <t>Jung J, Kim SK, Kim JY, Jeong MJ, Ryu CM. (2018). Beyond Chemical Triggers: Evidence for Sound-Evoked Physiological Reactions in Plants. Frontiers in Plant Science, 9, 25. https://doi.org/10.3389/fpls.2018.00025</t>
        </is>
      </c>
      <c r="C92" s="10" t="n">
        <v>2018</v>
      </c>
      <c r="D92" s="10" t="inlineStr">
        <is>
          <t>Beyond Chemical Triggers: Evidence for Sound-Evoked Physiological Reactions in Plants</t>
        </is>
      </c>
      <c r="E92" s="10" t="inlineStr">
        <is>
          <t>https://doi.org/10.3389/fpls.2018.00025</t>
        </is>
      </c>
      <c r="F92" s="10" t="inlineStr">
        <is>
          <t>Mechanobiology / plant sound response</t>
        </is>
      </c>
      <c r="G92" s="10" t="inlineStr">
        <is>
          <t>Primary / research article</t>
        </is>
      </c>
      <c r="H92" s="10" t="inlineStr">
        <is>
          <t>No</t>
        </is>
      </c>
      <c r="I92" s="10" t="inlineStr">
        <is>
          <t>No</t>
        </is>
      </c>
      <c r="J92" s="10" t="inlineStr">
        <is>
          <t>No</t>
        </is>
      </c>
      <c r="K92" s="10" t="inlineStr">
        <is>
          <t>No</t>
        </is>
      </c>
      <c r="L92" s="10" t="inlineStr">
        <is>
          <t>No</t>
        </is>
      </c>
      <c r="M92" s="10" t="inlineStr"/>
      <c r="N92" s="10">
        <f>IF(E92="","",IF(COUNTIF($E$4:$E$130,E92)&gt;1,"Duplicate",""))</f>
        <v/>
      </c>
      <c r="O92" s="10" t="inlineStr"/>
      <c r="P92" s="10" t="inlineStr">
        <is>
          <t>Medium</t>
        </is>
      </c>
      <c r="Q92" s="10" t="inlineStr">
        <is>
          <t>Needs verification</t>
        </is>
      </c>
    </row>
    <row r="93">
      <c r="A93" s="10" t="n">
        <v>90</v>
      </c>
      <c r="B93" s="10" t="inlineStr">
        <is>
          <t>Sardari M, Ghanati F, Mobasheri H, Hajnorouzi A. (2024). Sound waves alter the viability of tobacco cells via changes in cytosolic calcium, membrane integrity, and cell wall composition. PLOS ONE, 19(3), e0299055. https://doi.org/10.1371/journal.pone.0299055</t>
        </is>
      </c>
      <c r="C93" s="10" t="n">
        <v>2024</v>
      </c>
      <c r="D93" s="10" t="inlineStr">
        <is>
          <t>Sound waves alter the viability of tobacco cells via changes in cytosolic calcium</t>
        </is>
      </c>
      <c r="E93" s="10" t="inlineStr">
        <is>
          <t>https://doi.org/10.1371/journal.pone.0299055</t>
        </is>
      </c>
      <c r="F93" s="10" t="inlineStr">
        <is>
          <t>Mechanobiology / plant sound response</t>
        </is>
      </c>
      <c r="G93" s="10" t="inlineStr">
        <is>
          <t>Primary / research article</t>
        </is>
      </c>
      <c r="H93" s="10" t="inlineStr">
        <is>
          <t>Yes</t>
        </is>
      </c>
      <c r="I93" s="10" t="inlineStr">
        <is>
          <t>No</t>
        </is>
      </c>
      <c r="J93" s="10" t="inlineStr">
        <is>
          <t>No</t>
        </is>
      </c>
      <c r="K93" s="10" t="inlineStr">
        <is>
          <t>No</t>
        </is>
      </c>
      <c r="L93" s="10" t="inlineStr">
        <is>
          <t>No</t>
        </is>
      </c>
      <c r="M93" s="10" t="inlineStr"/>
      <c r="N93" s="10">
        <f>IF(E93="","",IF(COUNTIF($E$4:$E$130,E93)&gt;1,"Duplicate",""))</f>
        <v/>
      </c>
      <c r="O93" s="10" t="inlineStr"/>
      <c r="P93" s="10" t="inlineStr">
        <is>
          <t>Medium</t>
        </is>
      </c>
      <c r="Q93" s="10" t="inlineStr">
        <is>
          <t>Needs verification</t>
        </is>
      </c>
    </row>
    <row r="94">
      <c r="A94" s="10" t="n">
        <v>91</v>
      </c>
      <c r="B94" s="10" t="inlineStr">
        <is>
          <t>CHEN Y, JIANG Y, YANG S, YANG E, YANG B, PRASAD KN. (2012). EFFECTS OF ULTRASONIC TREATMENT ON PERICARP BROWNING OF POSTHARVEST LITCHI FRUIT. Journal of Food Biochemistry, 36(5), 613-620. https://doi.org/10.1111/j.1745-4514.2011.00573.x</t>
        </is>
      </c>
      <c r="C94" s="10" t="n">
        <v>2012</v>
      </c>
      <c r="D94" s="10" t="inlineStr">
        <is>
          <t>EFFECTS OF ULTRASONIC TREATMENT ON PERICARP BROWNING OF POSTHARVEST LITCHI FRUIT</t>
        </is>
      </c>
      <c r="E94" s="10" t="inlineStr">
        <is>
          <t>https://doi.org/10.1111/j.1745-4514.2011.00573.x</t>
        </is>
      </c>
      <c r="F94" s="10" t="inlineStr">
        <is>
          <t>Postharvest quality / contradictory outcomes</t>
        </is>
      </c>
      <c r="G94" s="10" t="inlineStr">
        <is>
          <t>Primary / research article</t>
        </is>
      </c>
      <c r="H94" s="10" t="inlineStr">
        <is>
          <t>No</t>
        </is>
      </c>
      <c r="I94" s="10" t="inlineStr">
        <is>
          <t>No</t>
        </is>
      </c>
      <c r="J94" s="10" t="inlineStr">
        <is>
          <t>No</t>
        </is>
      </c>
      <c r="K94" s="10" t="inlineStr">
        <is>
          <t>No</t>
        </is>
      </c>
      <c r="L94" s="10" t="inlineStr">
        <is>
          <t>No</t>
        </is>
      </c>
      <c r="M94" s="10" t="inlineStr"/>
      <c r="N94" s="10">
        <f>IF(E94="","",IF(COUNTIF($E$4:$E$130,E94)&gt;1,"Duplicate",""))</f>
        <v/>
      </c>
      <c r="O94" s="10" t="inlineStr"/>
      <c r="P94" s="10" t="inlineStr">
        <is>
          <t>Medium</t>
        </is>
      </c>
      <c r="Q94" s="10" t="inlineStr">
        <is>
          <t>Needs verification</t>
        </is>
      </c>
    </row>
    <row r="95">
      <c r="A95" s="10" t="n">
        <v>92</v>
      </c>
      <c r="B95" s="10" t="inlineStr">
        <is>
          <t>Barrett DM, Beaulieu JC, Shewfelt R. (2010). Color, Flavor, Texture, and Nutritional Quality of Fresh-Cut Fruits and Vegetables: Desirable Levels, Instrumental and Sensory Measurement, and the Effects of Processing. Critical Reviews in Food Science and Nutrition, 50(5), 369-389. https://doi.org/10.1080/10408391003626322</t>
        </is>
      </c>
      <c r="C95" s="10" t="n">
        <v>2010</v>
      </c>
      <c r="D95" s="10" t="inlineStr">
        <is>
          <t>Color</t>
        </is>
      </c>
      <c r="E95" s="10" t="inlineStr">
        <is>
          <t>https://doi.org/10.1080/10408391003626322</t>
        </is>
      </c>
      <c r="F95" s="10" t="inlineStr">
        <is>
          <t>Postharvest quality / contradictory outcomes</t>
        </is>
      </c>
      <c r="G95" s="10" t="inlineStr">
        <is>
          <t>Review</t>
        </is>
      </c>
      <c r="H95" s="10" t="inlineStr">
        <is>
          <t>No</t>
        </is>
      </c>
      <c r="I95" s="10" t="inlineStr">
        <is>
          <t>No</t>
        </is>
      </c>
      <c r="J95" s="10" t="inlineStr">
        <is>
          <t>No</t>
        </is>
      </c>
      <c r="K95" s="10" t="inlineStr">
        <is>
          <t>No</t>
        </is>
      </c>
      <c r="L95" s="10" t="inlineStr">
        <is>
          <t>No</t>
        </is>
      </c>
      <c r="M95" s="10" t="inlineStr"/>
      <c r="N95" s="10">
        <f>IF(E95="","",IF(COUNTIF($E$4:$E$130,E95)&gt;1,"Duplicate",""))</f>
        <v/>
      </c>
      <c r="O95" s="10" t="inlineStr"/>
      <c r="P95" s="10" t="inlineStr">
        <is>
          <t>Medium</t>
        </is>
      </c>
      <c r="Q95" s="10" t="inlineStr">
        <is>
          <t>Needs verification</t>
        </is>
      </c>
    </row>
    <row r="96">
      <c r="A96" s="10" t="n">
        <v>93</v>
      </c>
      <c r="B96" s="10" t="inlineStr">
        <is>
          <t>Toivonen PMA, Brummell DA. (2008). Biochemical bases of appearance and texture changes in fresh-cut fruit and vegetables. Postharvest Biology and Technology, 48(1), 1-14. https://doi.org/10.1016/j.postharvbio.2007.09.004</t>
        </is>
      </c>
      <c r="C96" s="10" t="n">
        <v>2008</v>
      </c>
      <c r="D96" s="10" t="inlineStr">
        <is>
          <t>Biochemical bases of appearance and texture changes in fresh-cut fruit and vegetables</t>
        </is>
      </c>
      <c r="E96" s="10" t="inlineStr">
        <is>
          <t>https://doi.org/10.1016/j.postharvbio.2007.09.004</t>
        </is>
      </c>
      <c r="F96" s="10" t="inlineStr">
        <is>
          <t>Postharvest quality / contradictory outcomes</t>
        </is>
      </c>
      <c r="G96" s="10" t="inlineStr">
        <is>
          <t>Primary / research article</t>
        </is>
      </c>
      <c r="H96" s="10" t="inlineStr">
        <is>
          <t>No</t>
        </is>
      </c>
      <c r="I96" s="10" t="inlineStr">
        <is>
          <t>No</t>
        </is>
      </c>
      <c r="J96" s="10" t="inlineStr">
        <is>
          <t>No</t>
        </is>
      </c>
      <c r="K96" s="10" t="inlineStr">
        <is>
          <t>No</t>
        </is>
      </c>
      <c r="L96" s="10" t="inlineStr">
        <is>
          <t>No</t>
        </is>
      </c>
      <c r="M96" s="10" t="inlineStr"/>
      <c r="N96" s="10">
        <f>IF(E96="","",IF(COUNTIF($E$4:$E$130,E96)&gt;1,"Duplicate",""))</f>
        <v/>
      </c>
      <c r="O96" s="10" t="inlineStr"/>
      <c r="P96" s="10" t="inlineStr">
        <is>
          <t>Medium</t>
        </is>
      </c>
      <c r="Q96" s="10" t="inlineStr">
        <is>
          <t>Needs verification</t>
        </is>
      </c>
    </row>
    <row r="97">
      <c r="A97" s="10" t="n">
        <v>94</v>
      </c>
      <c r="B97" s="10" t="inlineStr">
        <is>
          <t>Wang D, Yeats TH, Uluisik S, Rose JKC, Seymour GB. (2018). Fruit Softening: Revisiting the Role of Pectin. Trends in Plant Science, 23(4), 302-310. https://doi.org/10.1016/j.tplants.2018.01.006</t>
        </is>
      </c>
      <c r="C97" s="10" t="n">
        <v>2018</v>
      </c>
      <c r="D97" s="10" t="inlineStr">
        <is>
          <t>Fruit Softening: Revisiting the Role of Pectin</t>
        </is>
      </c>
      <c r="E97" s="10" t="inlineStr">
        <is>
          <t>https://doi.org/10.1016/j.tplants.2018.01.006</t>
        </is>
      </c>
      <c r="F97" s="10" t="inlineStr">
        <is>
          <t>Postharvest quality / contradictory outcomes</t>
        </is>
      </c>
      <c r="G97" s="10" t="inlineStr">
        <is>
          <t>Primary / research article</t>
        </is>
      </c>
      <c r="H97" s="10" t="inlineStr">
        <is>
          <t>No</t>
        </is>
      </c>
      <c r="I97" s="10" t="inlineStr">
        <is>
          <t>No</t>
        </is>
      </c>
      <c r="J97" s="10" t="inlineStr">
        <is>
          <t>No</t>
        </is>
      </c>
      <c r="K97" s="10" t="inlineStr">
        <is>
          <t>No</t>
        </is>
      </c>
      <c r="L97" s="10" t="inlineStr">
        <is>
          <t>No</t>
        </is>
      </c>
      <c r="M97" s="10" t="inlineStr"/>
      <c r="N97" s="10">
        <f>IF(E97="","",IF(COUNTIF($E$4:$E$130,E97)&gt;1,"Duplicate",""))</f>
        <v/>
      </c>
      <c r="O97" s="10" t="inlineStr"/>
      <c r="P97" s="10" t="inlineStr">
        <is>
          <t>Medium</t>
        </is>
      </c>
      <c r="Q97" s="10" t="inlineStr">
        <is>
          <t>Needs verification</t>
        </is>
      </c>
    </row>
    <row r="98">
      <c r="A98" s="10" t="n">
        <v>95</v>
      </c>
      <c r="B98" s="10" t="inlineStr">
        <is>
          <t>Samaranayake UC, Prasantha BDR, Chandrasiri KAKL. (2025). Assessment of ultrasound treatment potential to induce ripening in Seeni and Ambul banana varieties (Musa spp.). Energy Nexus, 18, 100419. https://doi.org/10.1016/j.nexus.2025.100419</t>
        </is>
      </c>
      <c r="C98" s="10" t="n">
        <v>2025</v>
      </c>
      <c r="D98" s="10" t="inlineStr">
        <is>
          <t>Assessment of ultrasound treatment potential to induce ripening in Seeni and Ambul banana varieties (Musa spp.)</t>
        </is>
      </c>
      <c r="E98" s="10" t="inlineStr">
        <is>
          <t>https://doi.org/10.1016/j.nexus.2025.100419</t>
        </is>
      </c>
      <c r="F98" s="10" t="inlineStr">
        <is>
          <t>Postharvest quality / contradictory outcomes</t>
        </is>
      </c>
      <c r="G98" s="10" t="inlineStr">
        <is>
          <t>Primary / research article</t>
        </is>
      </c>
      <c r="H98" s="10" t="inlineStr">
        <is>
          <t>Yes</t>
        </is>
      </c>
      <c r="I98" s="10" t="inlineStr">
        <is>
          <t>No</t>
        </is>
      </c>
      <c r="J98" s="10" t="inlineStr">
        <is>
          <t>No</t>
        </is>
      </c>
      <c r="K98" s="10" t="inlineStr">
        <is>
          <t>No</t>
        </is>
      </c>
      <c r="L98" s="10" t="inlineStr">
        <is>
          <t>No</t>
        </is>
      </c>
      <c r="M98" s="10" t="inlineStr"/>
      <c r="N98" s="10">
        <f>IF(E98="","",IF(COUNTIF($E$4:$E$130,E98)&gt;1,"Duplicate",""))</f>
        <v/>
      </c>
      <c r="O98" s="10" t="inlineStr"/>
      <c r="P98" s="10" t="inlineStr">
        <is>
          <t>Medium</t>
        </is>
      </c>
      <c r="Q98" s="10" t="inlineStr">
        <is>
          <t>Needs verification</t>
        </is>
      </c>
    </row>
    <row r="99">
      <c r="A99" s="10" t="n">
        <v>96</v>
      </c>
      <c r="B99" s="10" t="inlineStr">
        <is>
          <t>Abdi, Usami S, Nakagawa K, Thammawong M, Tsuta M, Nishimura K, et al. (2026). Ripening delay and metabolomic responses in mature green ‘Cavendish’ bananas treated with ultrasound. Applied Food Research, 6(2), 102296. https://doi.org/10.1016/j.afres.2026.102296</t>
        </is>
      </c>
      <c r="C99" s="10" t="n">
        <v>2026</v>
      </c>
      <c r="D99" s="10" t="inlineStr">
        <is>
          <t>Ripening delay and metabolomic responses in mature green ‘Cavendish’ bananas treated with ultrasound</t>
        </is>
      </c>
      <c r="E99" s="10" t="inlineStr">
        <is>
          <t>https://doi.org/10.1016/j.afres.2026.102296</t>
        </is>
      </c>
      <c r="F99" s="10" t="inlineStr">
        <is>
          <t>Postharvest quality / contradictory outcomes</t>
        </is>
      </c>
      <c r="G99" s="10" t="inlineStr">
        <is>
          <t>Primary / research article</t>
        </is>
      </c>
      <c r="H99" s="10" t="inlineStr">
        <is>
          <t>Yes</t>
        </is>
      </c>
      <c r="I99" s="10" t="inlineStr">
        <is>
          <t>No</t>
        </is>
      </c>
      <c r="J99" s="10" t="inlineStr">
        <is>
          <t>No</t>
        </is>
      </c>
      <c r="K99" s="10" t="inlineStr">
        <is>
          <t>No</t>
        </is>
      </c>
      <c r="L99" s="10" t="inlineStr">
        <is>
          <t>No</t>
        </is>
      </c>
      <c r="M99" s="10" t="inlineStr"/>
      <c r="N99" s="10">
        <f>IF(E99="","",IF(COUNTIF($E$4:$E$130,E99)&gt;1,"Duplicate",""))</f>
        <v/>
      </c>
      <c r="O99" s="10" t="inlineStr"/>
      <c r="P99" s="10" t="inlineStr">
        <is>
          <t>Medium</t>
        </is>
      </c>
      <c r="Q99" s="10" t="inlineStr">
        <is>
          <t>Needs verification</t>
        </is>
      </c>
    </row>
    <row r="100">
      <c r="A100" s="10" t="n">
        <v>97</v>
      </c>
      <c r="B100" s="10" t="inlineStr">
        <is>
          <t>Kritzinger W, Karner M, Traar G, Henjes J, Sihn W. (2018). Digital Twin in manufacturing: A categorical literature review and classification. IFAC-PapersOnLine, 51(11), 1016-1022. https://doi.org/10.1016/j.ifacol.2018.08.474</t>
        </is>
      </c>
      <c r="C100" s="10" t="n">
        <v>2018</v>
      </c>
      <c r="D100" s="10" t="inlineStr">
        <is>
          <t>Digital Twin in manufacturing: A categorical literature review and classification</t>
        </is>
      </c>
      <c r="E100" s="10" t="inlineStr">
        <is>
          <t>https://doi.org/10.1016/j.ifacol.2018.08.474</t>
        </is>
      </c>
      <c r="F100" s="10" t="inlineStr">
        <is>
          <t>Digital twins / modelling / control</t>
        </is>
      </c>
      <c r="G100" s="10" t="inlineStr">
        <is>
          <t>Review</t>
        </is>
      </c>
      <c r="H100" s="10" t="inlineStr">
        <is>
          <t>No</t>
        </is>
      </c>
      <c r="I100" s="10" t="inlineStr">
        <is>
          <t>No</t>
        </is>
      </c>
      <c r="J100" s="10" t="inlineStr">
        <is>
          <t>No</t>
        </is>
      </c>
      <c r="K100" s="10" t="inlineStr">
        <is>
          <t>No</t>
        </is>
      </c>
      <c r="L100" s="10" t="inlineStr">
        <is>
          <t>No</t>
        </is>
      </c>
      <c r="M100" s="10" t="inlineStr"/>
      <c r="N100" s="10">
        <f>IF(E100="","",IF(COUNTIF($E$4:$E$130,E100)&gt;1,"Duplicate",""))</f>
        <v/>
      </c>
      <c r="O100" s="10" t="inlineStr"/>
      <c r="P100" s="10" t="inlineStr">
        <is>
          <t>Medium</t>
        </is>
      </c>
      <c r="Q100" s="10" t="inlineStr">
        <is>
          <t>Needs verification</t>
        </is>
      </c>
    </row>
    <row r="101">
      <c r="A101" s="10" t="n">
        <v>98</v>
      </c>
      <c r="B101" s="10" t="inlineStr">
        <is>
          <t>Lim KYH, Zheng P, Chen CH. (2020). A state-of-the-art survey of Digital Twin: techniques, engineering product lifecycle management and business innovation perspectives. Journal of Intelligent Manufacturing, 31(6), 1313-1337. https://doi.org/10.1007/s10845-019-01512-w</t>
        </is>
      </c>
      <c r="C101" s="10" t="n">
        <v>2020</v>
      </c>
      <c r="D101" s="10" t="inlineStr">
        <is>
          <t>A state-of-the-art survey of Digital Twin: techniques</t>
        </is>
      </c>
      <c r="E101" s="10" t="inlineStr">
        <is>
          <t>https://doi.org/10.1007/s10845-019-01512-w</t>
        </is>
      </c>
      <c r="F101" s="10" t="inlineStr">
        <is>
          <t>Digital twins / modelling / control</t>
        </is>
      </c>
      <c r="G101" s="10" t="inlineStr">
        <is>
          <t>Primary / research article</t>
        </is>
      </c>
      <c r="H101" s="10" t="inlineStr">
        <is>
          <t>No</t>
        </is>
      </c>
      <c r="I101" s="10" t="inlineStr">
        <is>
          <t>No</t>
        </is>
      </c>
      <c r="J101" s="10" t="inlineStr">
        <is>
          <t>No</t>
        </is>
      </c>
      <c r="K101" s="10" t="inlineStr">
        <is>
          <t>No</t>
        </is>
      </c>
      <c r="L101" s="10" t="inlineStr">
        <is>
          <t>No</t>
        </is>
      </c>
      <c r="M101" s="10" t="inlineStr"/>
      <c r="N101" s="10">
        <f>IF(E101="","",IF(COUNTIF($E$4:$E$130,E101)&gt;1,"Duplicate",""))</f>
        <v/>
      </c>
      <c r="O101" s="10" t="inlineStr"/>
      <c r="P101" s="10" t="inlineStr">
        <is>
          <t>Medium</t>
        </is>
      </c>
      <c r="Q101" s="10" t="inlineStr">
        <is>
          <t>Needs verification</t>
        </is>
      </c>
    </row>
    <row r="102">
      <c r="A102" s="10" t="n">
        <v>99</v>
      </c>
      <c r="B102" s="10" t="inlineStr">
        <is>
          <t>Tao F, Xiao B, Qi Q, Cheng J, Ji P. (2022). Digital twin modeling. Journal of Manufacturing Systems, 64, 372-389. https://doi.org/10.1016/j.jmsy.2022.06.015</t>
        </is>
      </c>
      <c r="C102" s="10" t="n">
        <v>2022</v>
      </c>
      <c r="D102" s="10" t="inlineStr">
        <is>
          <t>Digital twin modeling</t>
        </is>
      </c>
      <c r="E102" s="10" t="inlineStr">
        <is>
          <t>https://doi.org/10.1016/j.jmsy.2022.06.015</t>
        </is>
      </c>
      <c r="F102" s="10" t="inlineStr">
        <is>
          <t>Digital twins / modelling / control</t>
        </is>
      </c>
      <c r="G102" s="10" t="inlineStr">
        <is>
          <t>Primary / research article</t>
        </is>
      </c>
      <c r="H102" s="10" t="inlineStr">
        <is>
          <t>No</t>
        </is>
      </c>
      <c r="I102" s="10" t="inlineStr">
        <is>
          <t>No</t>
        </is>
      </c>
      <c r="J102" s="10" t="inlineStr">
        <is>
          <t>No</t>
        </is>
      </c>
      <c r="K102" s="10" t="inlineStr">
        <is>
          <t>No</t>
        </is>
      </c>
      <c r="L102" s="10" t="inlineStr">
        <is>
          <t>No</t>
        </is>
      </c>
      <c r="M102" s="10" t="inlineStr"/>
      <c r="N102" s="10">
        <f>IF(E102="","",IF(COUNTIF($E$4:$E$130,E102)&gt;1,"Duplicate",""))</f>
        <v/>
      </c>
      <c r="O102" s="10" t="inlineStr"/>
      <c r="P102" s="10" t="inlineStr">
        <is>
          <t>Medium</t>
        </is>
      </c>
      <c r="Q102" s="10" t="inlineStr">
        <is>
          <t>Needs verification</t>
        </is>
      </c>
    </row>
    <row r="103">
      <c r="A103" s="10" t="n">
        <v>100</v>
      </c>
      <c r="B103" s="10" t="inlineStr">
        <is>
          <t>Purlis E. (2024). Digital Twin Methodology in Food Processing: Basic Concepts and Applications. Current Nutrition Reports, 13(4), 914-920. https://doi.org/10.1007/s13668-024-00584-2</t>
        </is>
      </c>
      <c r="C103" s="10" t="n">
        <v>2024</v>
      </c>
      <c r="D103" s="10" t="inlineStr">
        <is>
          <t>Digital Twin Methodology in Food Processing: Basic Concepts and Applications</t>
        </is>
      </c>
      <c r="E103" s="10" t="inlineStr">
        <is>
          <t>https://doi.org/10.1007/s13668-024-00584-2</t>
        </is>
      </c>
      <c r="F103" s="10" t="inlineStr">
        <is>
          <t>Digital twins / modelling / control</t>
        </is>
      </c>
      <c r="G103" s="10" t="inlineStr">
        <is>
          <t>Primary / research article</t>
        </is>
      </c>
      <c r="H103" s="10" t="inlineStr">
        <is>
          <t>Yes</t>
        </is>
      </c>
      <c r="I103" s="10" t="inlineStr">
        <is>
          <t>No</t>
        </is>
      </c>
      <c r="J103" s="10" t="inlineStr">
        <is>
          <t>No</t>
        </is>
      </c>
      <c r="K103" s="10" t="inlineStr">
        <is>
          <t>No</t>
        </is>
      </c>
      <c r="L103" s="10" t="inlineStr">
        <is>
          <t>No</t>
        </is>
      </c>
      <c r="M103" s="10" t="inlineStr"/>
      <c r="N103" s="10">
        <f>IF(E103="","",IF(COUNTIF($E$4:$E$130,E103)&gt;1,"Duplicate",""))</f>
        <v/>
      </c>
      <c r="O103" s="10" t="inlineStr"/>
      <c r="P103" s="10" t="inlineStr">
        <is>
          <t>Medium</t>
        </is>
      </c>
      <c r="Q103" s="10" t="inlineStr">
        <is>
          <t>Needs verification</t>
        </is>
      </c>
    </row>
    <row r="104">
      <c r="A104" s="10" t="n">
        <v>101</v>
      </c>
      <c r="B104" s="10" t="inlineStr">
        <is>
          <t>Datta AK. (2016). Toward computer-aided food engineering: Mechanistic frameworks for evolution of product, quality and safety during processing. Journal of Food Engineering, 176, 9-27. https://doi.org/10.1016/j.jfoodeng.2015.10.010</t>
        </is>
      </c>
      <c r="C104" s="10" t="n">
        <v>2016</v>
      </c>
      <c r="D104" s="10" t="inlineStr">
        <is>
          <t>Toward computer-aided food engineering: Mechanistic frameworks for evolution of product</t>
        </is>
      </c>
      <c r="E104" s="10" t="inlineStr">
        <is>
          <t>https://doi.org/10.1016/j.jfoodeng.2015.10.010</t>
        </is>
      </c>
      <c r="F104" s="10" t="inlineStr">
        <is>
          <t>Digital twins / modelling / control</t>
        </is>
      </c>
      <c r="G104" s="10" t="inlineStr">
        <is>
          <t>Primary / research article</t>
        </is>
      </c>
      <c r="H104" s="10" t="inlineStr">
        <is>
          <t>No</t>
        </is>
      </c>
      <c r="I104" s="10" t="inlineStr">
        <is>
          <t>No</t>
        </is>
      </c>
      <c r="J104" s="10" t="inlineStr">
        <is>
          <t>No</t>
        </is>
      </c>
      <c r="K104" s="10" t="inlineStr">
        <is>
          <t>No</t>
        </is>
      </c>
      <c r="L104" s="10" t="inlineStr">
        <is>
          <t>No</t>
        </is>
      </c>
      <c r="M104" s="10" t="inlineStr"/>
      <c r="N104" s="10">
        <f>IF(E104="","",IF(COUNTIF($E$4:$E$130,E104)&gt;1,"Duplicate",""))</f>
        <v/>
      </c>
      <c r="O104" s="10" t="inlineStr"/>
      <c r="P104" s="10" t="inlineStr">
        <is>
          <t>Medium</t>
        </is>
      </c>
      <c r="Q104" s="10" t="inlineStr">
        <is>
          <t>Needs verification</t>
        </is>
      </c>
    </row>
    <row r="105">
      <c r="A105" s="10" t="n">
        <v>102</v>
      </c>
      <c r="B105" s="10" t="inlineStr">
        <is>
          <t>Datta A, Nicolaï B, Vitrac O, Verboven P, Erdogdu F, Marra F, et al. (2022). Computer-aided food engineering. Nature Food, 3(11), 894-904. https://doi.org/10.1038/s43016-022-00617-5</t>
        </is>
      </c>
      <c r="C105" s="10" t="n">
        <v>2022</v>
      </c>
      <c r="D105" s="10" t="inlineStr">
        <is>
          <t>Computer-aided food engineering</t>
        </is>
      </c>
      <c r="E105" s="10" t="inlineStr">
        <is>
          <t>https://doi.org/10.1038/s43016-022-00617-5</t>
        </is>
      </c>
      <c r="F105" s="10" t="inlineStr">
        <is>
          <t>Digital twins / modelling / control</t>
        </is>
      </c>
      <c r="G105" s="10" t="inlineStr">
        <is>
          <t>Primary / research article</t>
        </is>
      </c>
      <c r="H105" s="10" t="inlineStr">
        <is>
          <t>No</t>
        </is>
      </c>
      <c r="I105" s="10" t="inlineStr">
        <is>
          <t>No</t>
        </is>
      </c>
      <c r="J105" s="10" t="inlineStr">
        <is>
          <t>No</t>
        </is>
      </c>
      <c r="K105" s="10" t="inlineStr">
        <is>
          <t>No</t>
        </is>
      </c>
      <c r="L105" s="10" t="inlineStr">
        <is>
          <t>No</t>
        </is>
      </c>
      <c r="M105" s="10" t="inlineStr"/>
      <c r="N105" s="10">
        <f>IF(E105="","",IF(COUNTIF($E$4:$E$130,E105)&gt;1,"Duplicate",""))</f>
        <v/>
      </c>
      <c r="O105" s="10" t="inlineStr"/>
      <c r="P105" s="10" t="inlineStr">
        <is>
          <t>Medium</t>
        </is>
      </c>
      <c r="Q105" s="10" t="inlineStr">
        <is>
          <t>Needs verification</t>
        </is>
      </c>
    </row>
    <row r="106">
      <c r="A106" s="10" t="n">
        <v>103</v>
      </c>
      <c r="B106" s="10" t="inlineStr">
        <is>
          <t>Purlis E. (2023). Physics-Informed Machine Learning: the Next Big Trend in Food Process Modelling?. Current Food Science and Technology Reports, 2(1), 1-6. https://doi.org/10.1007/s43555-023-00012-6</t>
        </is>
      </c>
      <c r="C106" s="10" t="n">
        <v>2023</v>
      </c>
      <c r="D106" s="10" t="inlineStr">
        <is>
          <t>Physics-Informed Machine Learning: the Next Big Trend in Food Process Modelling?</t>
        </is>
      </c>
      <c r="E106" s="10" t="inlineStr">
        <is>
          <t>https://doi.org/10.1007/s43555-023-00012-6</t>
        </is>
      </c>
      <c r="F106" s="10" t="inlineStr">
        <is>
          <t>Digital twins / modelling / control</t>
        </is>
      </c>
      <c r="G106" s="10" t="inlineStr">
        <is>
          <t>Primary / research article</t>
        </is>
      </c>
      <c r="H106" s="10" t="inlineStr">
        <is>
          <t>No</t>
        </is>
      </c>
      <c r="I106" s="10" t="inlineStr">
        <is>
          <t>No</t>
        </is>
      </c>
      <c r="J106" s="10" t="inlineStr">
        <is>
          <t>No</t>
        </is>
      </c>
      <c r="K106" s="10" t="inlineStr">
        <is>
          <t>No</t>
        </is>
      </c>
      <c r="L106" s="10" t="inlineStr">
        <is>
          <t>No</t>
        </is>
      </c>
      <c r="M106" s="10" t="inlineStr"/>
      <c r="N106" s="10">
        <f>IF(E106="","",IF(COUNTIF($E$4:$E$130,E106)&gt;1,"Duplicate",""))</f>
        <v/>
      </c>
      <c r="O106" s="10" t="inlineStr"/>
      <c r="P106" s="10" t="inlineStr">
        <is>
          <t>Medium</t>
        </is>
      </c>
      <c r="Q106" s="10" t="inlineStr">
        <is>
          <t>Needs verification</t>
        </is>
      </c>
    </row>
    <row r="107">
      <c r="A107" s="10" t="n">
        <v>104</v>
      </c>
      <c r="B107" s="10" t="inlineStr">
        <is>
          <t>Aguilera JM. (2022). Rational food design and food microstructure. Trends in Food Science &amp; Technology, 122, 256-264. https://doi.org/10.1016/j.tifs.2022.02.006</t>
        </is>
      </c>
      <c r="C107" s="10" t="n">
        <v>2022</v>
      </c>
      <c r="D107" s="10" t="inlineStr">
        <is>
          <t>Rational food design and food microstructure</t>
        </is>
      </c>
      <c r="E107" s="10" t="inlineStr">
        <is>
          <t>https://doi.org/10.1016/j.tifs.2022.02.006</t>
        </is>
      </c>
      <c r="F107" s="10" t="inlineStr">
        <is>
          <t>Digital twins / modelling / control</t>
        </is>
      </c>
      <c r="G107" s="10" t="inlineStr">
        <is>
          <t>Primary / research article</t>
        </is>
      </c>
      <c r="H107" s="10" t="inlineStr">
        <is>
          <t>No</t>
        </is>
      </c>
      <c r="I107" s="10" t="inlineStr">
        <is>
          <t>No</t>
        </is>
      </c>
      <c r="J107" s="10" t="inlineStr">
        <is>
          <t>No</t>
        </is>
      </c>
      <c r="K107" s="10" t="inlineStr">
        <is>
          <t>No</t>
        </is>
      </c>
      <c r="L107" s="10" t="inlineStr">
        <is>
          <t>No</t>
        </is>
      </c>
      <c r="M107" s="10" t="inlineStr"/>
      <c r="N107" s="10">
        <f>IF(E107="","",IF(COUNTIF($E$4:$E$130,E107)&gt;1,"Duplicate",""))</f>
        <v/>
      </c>
      <c r="O107" s="10" t="inlineStr"/>
      <c r="P107" s="10" t="inlineStr">
        <is>
          <t>Medium</t>
        </is>
      </c>
      <c r="Q107" s="10" t="inlineStr">
        <is>
          <t>Needs verification</t>
        </is>
      </c>
    </row>
    <row r="108">
      <c r="A108" s="10" t="n">
        <v>105</v>
      </c>
      <c r="B108" s="10" t="inlineStr">
        <is>
          <t>van der Sman RGM. (2022). MULTICUBED: Multiscale-multiphysics simulation of food processing. Food Structure, 33, 100278. https://doi.org/10.1016/j.foostr.2022.100278</t>
        </is>
      </c>
      <c r="C108" s="10" t="n">
        <v>2022</v>
      </c>
      <c r="D108" s="10" t="inlineStr">
        <is>
          <t>MULTICUBED: Multiscale-multiphysics simulation of food processing</t>
        </is>
      </c>
      <c r="E108" s="10" t="inlineStr">
        <is>
          <t>https://doi.org/10.1016/j.foostr.2022.100278</t>
        </is>
      </c>
      <c r="F108" s="10" t="inlineStr">
        <is>
          <t>Digital twins / modelling / control</t>
        </is>
      </c>
      <c r="G108" s="10" t="inlineStr">
        <is>
          <t>Primary / research article</t>
        </is>
      </c>
      <c r="H108" s="10" t="inlineStr">
        <is>
          <t>No</t>
        </is>
      </c>
      <c r="I108" s="10" t="inlineStr">
        <is>
          <t>No</t>
        </is>
      </c>
      <c r="J108" s="10" t="inlineStr">
        <is>
          <t>No</t>
        </is>
      </c>
      <c r="K108" s="10" t="inlineStr">
        <is>
          <t>No</t>
        </is>
      </c>
      <c r="L108" s="10" t="inlineStr">
        <is>
          <t>No</t>
        </is>
      </c>
      <c r="M108" s="10" t="inlineStr"/>
      <c r="N108" s="10">
        <f>IF(E108="","",IF(COUNTIF($E$4:$E$130,E108)&gt;1,"Duplicate",""))</f>
        <v/>
      </c>
      <c r="O108" s="10" t="inlineStr"/>
      <c r="P108" s="10" t="inlineStr">
        <is>
          <t>Medium</t>
        </is>
      </c>
      <c r="Q108" s="10" t="inlineStr">
        <is>
          <t>Needs verification</t>
        </is>
      </c>
    </row>
    <row r="109">
      <c r="A109" s="10" t="n">
        <v>106</v>
      </c>
      <c r="B109" s="10" t="inlineStr">
        <is>
          <t>Verboven P, Defraeye T, Datta AK, Nicolai B. (2020). Digital twins of food process operations: the next step for food process models?. Current Opinion in Food Science, 35, 79-87. https://doi.org/10.1016/j.cofs.2020.03.002</t>
        </is>
      </c>
      <c r="C109" s="10" t="n">
        <v>2020</v>
      </c>
      <c r="D109" s="10" t="inlineStr">
        <is>
          <t>Digital twins of food process operations: the next step for food process models?</t>
        </is>
      </c>
      <c r="E109" s="10" t="inlineStr">
        <is>
          <t>https://doi.org/10.1016/j.cofs.2020.03.002</t>
        </is>
      </c>
      <c r="F109" s="10" t="inlineStr">
        <is>
          <t>Digital twins / modelling / control</t>
        </is>
      </c>
      <c r="G109" s="10" t="inlineStr">
        <is>
          <t>Primary / research article</t>
        </is>
      </c>
      <c r="H109" s="10" t="inlineStr">
        <is>
          <t>No</t>
        </is>
      </c>
      <c r="I109" s="10" t="inlineStr">
        <is>
          <t>No</t>
        </is>
      </c>
      <c r="J109" s="10" t="inlineStr">
        <is>
          <t>No</t>
        </is>
      </c>
      <c r="K109" s="10" t="inlineStr">
        <is>
          <t>No</t>
        </is>
      </c>
      <c r="L109" s="10" t="inlineStr">
        <is>
          <t>No</t>
        </is>
      </c>
      <c r="M109" s="10" t="inlineStr"/>
      <c r="N109" s="10">
        <f>IF(E109="","",IF(COUNTIF($E$4:$E$130,E109)&gt;1,"Duplicate",""))</f>
        <v/>
      </c>
      <c r="O109" s="10" t="inlineStr"/>
      <c r="P109" s="10" t="inlineStr">
        <is>
          <t>Medium</t>
        </is>
      </c>
      <c r="Q109" s="10" t="inlineStr">
        <is>
          <t>Needs verification</t>
        </is>
      </c>
    </row>
    <row r="110">
      <c r="A110" s="10" t="n">
        <v>107</v>
      </c>
      <c r="B110" s="10" t="inlineStr">
        <is>
          <t>Defraeye T, Shrivastava C, Berry T, Verboven P, Onwude D, Schudel S, et al. (2021). Digital twins are coming: Will we need them in supply chains of fresh horticultural produce?. Trends in Food Science &amp; Technology, 109, 245-258. https://doi.org/10.1016/j.tifs.2021.01.025</t>
        </is>
      </c>
      <c r="C110" s="10" t="n">
        <v>2021</v>
      </c>
      <c r="D110" s="10" t="inlineStr">
        <is>
          <t>Digital twins are coming: Will we need them in supply chains of fresh horticultural produce?</t>
        </is>
      </c>
      <c r="E110" s="10" t="inlineStr">
        <is>
          <t>https://doi.org/10.1016/j.tifs.2021.01.025</t>
        </is>
      </c>
      <c r="F110" s="10" t="inlineStr">
        <is>
          <t>Digital twins / modelling / control</t>
        </is>
      </c>
      <c r="G110" s="10" t="inlineStr">
        <is>
          <t>Primary / research article</t>
        </is>
      </c>
      <c r="H110" s="10" t="inlineStr">
        <is>
          <t>No</t>
        </is>
      </c>
      <c r="I110" s="10" t="inlineStr">
        <is>
          <t>No</t>
        </is>
      </c>
      <c r="J110" s="10" t="inlineStr">
        <is>
          <t>No</t>
        </is>
      </c>
      <c r="K110" s="10" t="inlineStr">
        <is>
          <t>No</t>
        </is>
      </c>
      <c r="L110" s="10" t="inlineStr">
        <is>
          <t>No</t>
        </is>
      </c>
      <c r="M110" s="10" t="inlineStr"/>
      <c r="N110" s="10">
        <f>IF(E110="","",IF(COUNTIF($E$4:$E$130,E110)&gt;1,"Duplicate",""))</f>
        <v/>
      </c>
      <c r="O110" s="10" t="inlineStr"/>
      <c r="P110" s="10" t="inlineStr">
        <is>
          <t>Medium</t>
        </is>
      </c>
      <c r="Q110" s="10" t="inlineStr">
        <is>
          <t>Needs verification</t>
        </is>
      </c>
    </row>
    <row r="111">
      <c r="A111" s="10" t="n">
        <v>108</v>
      </c>
      <c r="B111" s="10" t="inlineStr">
        <is>
          <t>Defraeye T, Tagliavini G, Wu W, Prawiranto K, Schudel S, Assefa Kerisima M, et al. (2019). Digital twins probe into food cooling and biochemical quality changes for reducing losses in refrigerated supply chains. Resources, Conservation and Recycling, 149, 778-794. https://doi.org/10.1016/j.resconrec.2019.06.002</t>
        </is>
      </c>
      <c r="C111" s="10" t="n">
        <v>2019</v>
      </c>
      <c r="D111" s="10" t="inlineStr">
        <is>
          <t>Digital twins probe into food cooling and biochemical quality changes for reducing losses in refrigerated supply chains</t>
        </is>
      </c>
      <c r="E111" s="10" t="inlineStr">
        <is>
          <t>https://doi.org/10.1016/j.resconrec.2019.06.002</t>
        </is>
      </c>
      <c r="F111" s="10" t="inlineStr">
        <is>
          <t>Digital twins / modelling / control</t>
        </is>
      </c>
      <c r="G111" s="10" t="inlineStr">
        <is>
          <t>Primary / research article</t>
        </is>
      </c>
      <c r="H111" s="10" t="inlineStr">
        <is>
          <t>No</t>
        </is>
      </c>
      <c r="I111" s="10" t="inlineStr">
        <is>
          <t>No</t>
        </is>
      </c>
      <c r="J111" s="10" t="inlineStr">
        <is>
          <t>No</t>
        </is>
      </c>
      <c r="K111" s="10" t="inlineStr">
        <is>
          <t>No</t>
        </is>
      </c>
      <c r="L111" s="10" t="inlineStr">
        <is>
          <t>No</t>
        </is>
      </c>
      <c r="M111" s="10" t="inlineStr"/>
      <c r="N111" s="10">
        <f>IF(E111="","",IF(COUNTIF($E$4:$E$130,E111)&gt;1,"Duplicate",""))</f>
        <v/>
      </c>
      <c r="O111" s="10" t="inlineStr"/>
      <c r="P111" s="10" t="inlineStr">
        <is>
          <t>Medium</t>
        </is>
      </c>
      <c r="Q111" s="10" t="inlineStr">
        <is>
          <t>Needs verification</t>
        </is>
      </c>
    </row>
    <row r="112">
      <c r="A112" s="10" t="n">
        <v>109</v>
      </c>
      <c r="B112" s="10" t="inlineStr">
        <is>
          <t>Defraeye T, Wu W, Prawiranto K, Fortunato G, Kemp S, Hartmann S, et al. (2017). Artificial fruit for monitoring the thermal history of horticultural produce in the cold chain. Journal of Food Engineering, 215, 51-60. https://doi.org/10.1016/j.jfoodeng.2017.07.012</t>
        </is>
      </c>
      <c r="C112" s="10" t="n">
        <v>2017</v>
      </c>
      <c r="D112" s="10" t="inlineStr">
        <is>
          <t>Artificial fruit for monitoring the thermal history of horticultural produce in the cold chain</t>
        </is>
      </c>
      <c r="E112" s="10" t="inlineStr">
        <is>
          <t>https://doi.org/10.1016/j.jfoodeng.2017.07.012</t>
        </is>
      </c>
      <c r="F112" s="10" t="inlineStr">
        <is>
          <t>Digital twins / modelling / control</t>
        </is>
      </c>
      <c r="G112" s="10" t="inlineStr">
        <is>
          <t>Primary / research article</t>
        </is>
      </c>
      <c r="H112" s="10" t="inlineStr">
        <is>
          <t>No</t>
        </is>
      </c>
      <c r="I112" s="10" t="inlineStr">
        <is>
          <t>No</t>
        </is>
      </c>
      <c r="J112" s="10" t="inlineStr">
        <is>
          <t>No</t>
        </is>
      </c>
      <c r="K112" s="10" t="inlineStr">
        <is>
          <t>No</t>
        </is>
      </c>
      <c r="L112" s="10" t="inlineStr">
        <is>
          <t>No</t>
        </is>
      </c>
      <c r="M112" s="10" t="inlineStr"/>
      <c r="N112" s="10">
        <f>IF(E112="","",IF(COUNTIF($E$4:$E$130,E112)&gt;1,"Duplicate",""))</f>
        <v/>
      </c>
      <c r="O112" s="10" t="inlineStr"/>
      <c r="P112" s="10" t="inlineStr">
        <is>
          <t>Medium</t>
        </is>
      </c>
      <c r="Q112" s="10" t="inlineStr">
        <is>
          <t>Needs verification</t>
        </is>
      </c>
    </row>
    <row r="113">
      <c r="A113" s="10" t="n">
        <v>110</v>
      </c>
      <c r="B113" s="10" t="inlineStr">
        <is>
          <t>Krupitzer C, Stein A. (2024). Unleashing the Potential of Digitalization in the Agri-Food Chain for Integrated Food Systems. Annual Review of Food Science and Technology, 15(1), 307-328. https://doi.org/10.1146/annurev-food-012422-024649</t>
        </is>
      </c>
      <c r="C113" s="10" t="n">
        <v>2024</v>
      </c>
      <c r="D113" s="10" t="inlineStr">
        <is>
          <t>Unleashing the Potential of Digitalization in the Agri-Food Chain for Integrated Food Systems</t>
        </is>
      </c>
      <c r="E113" s="10" t="inlineStr">
        <is>
          <t>https://doi.org/10.1146/annurev-food-012422-024649</t>
        </is>
      </c>
      <c r="F113" s="10" t="inlineStr">
        <is>
          <t>Digital twins / modelling / control</t>
        </is>
      </c>
      <c r="G113" s="10" t="inlineStr">
        <is>
          <t>Review</t>
        </is>
      </c>
      <c r="H113" s="10" t="inlineStr">
        <is>
          <t>Yes</t>
        </is>
      </c>
      <c r="I113" s="10" t="inlineStr">
        <is>
          <t>No</t>
        </is>
      </c>
      <c r="J113" s="10" t="inlineStr">
        <is>
          <t>No</t>
        </is>
      </c>
      <c r="K113" s="10" t="inlineStr">
        <is>
          <t>No</t>
        </is>
      </c>
      <c r="L113" s="10" t="inlineStr">
        <is>
          <t>No</t>
        </is>
      </c>
      <c r="M113" s="10" t="inlineStr"/>
      <c r="N113" s="10">
        <f>IF(E113="","",IF(COUNTIF($E$4:$E$130,E113)&gt;1,"Duplicate",""))</f>
        <v/>
      </c>
      <c r="O113" s="10" t="inlineStr"/>
      <c r="P113" s="10" t="inlineStr">
        <is>
          <t>Medium</t>
        </is>
      </c>
      <c r="Q113" s="10" t="inlineStr">
        <is>
          <t>Needs verification</t>
        </is>
      </c>
    </row>
    <row r="114">
      <c r="A114" s="10" t="n">
        <v>111</v>
      </c>
      <c r="B114" s="10" t="inlineStr">
        <is>
          <t>Krupitzer C, Noack T, Borsum C. (2022). Digital Food Twins Combining Data Science and Food Science: System Model, Applications, and Challenges. Processes, 10(9), 1781. https://doi.org/10.3390/pr10091781</t>
        </is>
      </c>
      <c r="C114" s="10" t="n">
        <v>2022</v>
      </c>
      <c r="D114" s="10" t="inlineStr">
        <is>
          <t>Digital Food Twins Combining Data Science and Food Science: System Model</t>
        </is>
      </c>
      <c r="E114" s="10" t="inlineStr">
        <is>
          <t>https://doi.org/10.3390/pr10091781</t>
        </is>
      </c>
      <c r="F114" s="10" t="inlineStr">
        <is>
          <t>Digital twins / modelling / control</t>
        </is>
      </c>
      <c r="G114" s="10" t="inlineStr">
        <is>
          <t>Primary / research article</t>
        </is>
      </c>
      <c r="H114" s="10" t="inlineStr">
        <is>
          <t>No</t>
        </is>
      </c>
      <c r="I114" s="10" t="inlineStr">
        <is>
          <t>No</t>
        </is>
      </c>
      <c r="J114" s="10" t="inlineStr">
        <is>
          <t>No</t>
        </is>
      </c>
      <c r="K114" s="10" t="inlineStr">
        <is>
          <t>No</t>
        </is>
      </c>
      <c r="L114" s="10" t="inlineStr">
        <is>
          <t>No</t>
        </is>
      </c>
      <c r="M114" s="10" t="inlineStr"/>
      <c r="N114" s="10">
        <f>IF(E114="","",IF(COUNTIF($E$4:$E$130,E114)&gt;1,"Duplicate",""))</f>
        <v/>
      </c>
      <c r="O114" s="10" t="inlineStr"/>
      <c r="P114" s="10" t="inlineStr">
        <is>
          <t>Medium</t>
        </is>
      </c>
      <c r="Q114" s="10" t="inlineStr">
        <is>
          <t>Needs verification</t>
        </is>
      </c>
    </row>
    <row r="115">
      <c r="A115" s="10" t="n">
        <v>112</v>
      </c>
      <c r="B115" s="10" t="inlineStr">
        <is>
          <t>Henrichs E, Noack T, Pinzon Piedrahita AM, Salem MA, Stolz J, Krupitzer C. (2021). Can a Byte Improve Our Bite? An Analysis of Digital Twins in the Food Industry. Sensors, 22(1), 115. https://doi.org/10.3390/s22010115</t>
        </is>
      </c>
      <c r="C115" s="10" t="n">
        <v>2021</v>
      </c>
      <c r="D115" s="10" t="inlineStr">
        <is>
          <t>Can a Byte Improve Our Bite? An Analysis of Digital Twins in the Food Industry</t>
        </is>
      </c>
      <c r="E115" s="10" t="inlineStr">
        <is>
          <t>https://doi.org/10.3390/s22010115</t>
        </is>
      </c>
      <c r="F115" s="10" t="inlineStr">
        <is>
          <t>Digital twins / modelling / control</t>
        </is>
      </c>
      <c r="G115" s="10" t="inlineStr">
        <is>
          <t>Primary / research article</t>
        </is>
      </c>
      <c r="H115" s="10" t="inlineStr">
        <is>
          <t>No</t>
        </is>
      </c>
      <c r="I115" s="10" t="inlineStr">
        <is>
          <t>No</t>
        </is>
      </c>
      <c r="J115" s="10" t="inlineStr">
        <is>
          <t>No</t>
        </is>
      </c>
      <c r="K115" s="10" t="inlineStr">
        <is>
          <t>No</t>
        </is>
      </c>
      <c r="L115" s="10" t="inlineStr">
        <is>
          <t>No</t>
        </is>
      </c>
      <c r="M115" s="10" t="inlineStr"/>
      <c r="N115" s="10">
        <f>IF(E115="","",IF(COUNTIF($E$4:$E$130,E115)&gt;1,"Duplicate",""))</f>
        <v/>
      </c>
      <c r="O115" s="10" t="inlineStr"/>
      <c r="P115" s="10" t="inlineStr">
        <is>
          <t>Medium</t>
        </is>
      </c>
      <c r="Q115" s="10" t="inlineStr">
        <is>
          <t>Needs verification</t>
        </is>
      </c>
    </row>
    <row r="116">
      <c r="A116" s="10" t="n">
        <v>113</v>
      </c>
      <c r="B116" s="10" t="inlineStr">
        <is>
          <t>Shoji K, Schudel S, Onwude D, Shrivastava C, Defraeye T. (2022). Mapping the postharvest life of imported fruits from packhouse to retail stores using physics-based digital twins. Resources, Conservation and Recycling, 176, 105914. https://doi.org/10.1016/j.resconrec.2021.105914</t>
        </is>
      </c>
      <c r="C116" s="10" t="n">
        <v>2022</v>
      </c>
      <c r="D116" s="10" t="inlineStr">
        <is>
          <t>Mapping the postharvest life of imported fruits from packhouse to retail stores using physics-based digital twins</t>
        </is>
      </c>
      <c r="E116" s="10" t="inlineStr">
        <is>
          <t>https://doi.org/10.1016/j.resconrec.2021.105914</t>
        </is>
      </c>
      <c r="F116" s="10" t="inlineStr">
        <is>
          <t>Digital twins / modelling / control</t>
        </is>
      </c>
      <c r="G116" s="10" t="inlineStr">
        <is>
          <t>Primary / research article</t>
        </is>
      </c>
      <c r="H116" s="10" t="inlineStr">
        <is>
          <t>No</t>
        </is>
      </c>
      <c r="I116" s="10" t="inlineStr">
        <is>
          <t>No</t>
        </is>
      </c>
      <c r="J116" s="10" t="inlineStr">
        <is>
          <t>No</t>
        </is>
      </c>
      <c r="K116" s="10" t="inlineStr">
        <is>
          <t>No</t>
        </is>
      </c>
      <c r="L116" s="10" t="inlineStr">
        <is>
          <t>No</t>
        </is>
      </c>
      <c r="M116" s="10" t="inlineStr"/>
      <c r="N116" s="10">
        <f>IF(E116="","",IF(COUNTIF($E$4:$E$130,E116)&gt;1,"Duplicate",""))</f>
        <v/>
      </c>
      <c r="O116" s="10" t="inlineStr"/>
      <c r="P116" s="10" t="inlineStr">
        <is>
          <t>Medium</t>
        </is>
      </c>
      <c r="Q116" s="10" t="inlineStr">
        <is>
          <t>Needs verification</t>
        </is>
      </c>
    </row>
    <row r="117">
      <c r="A117" s="10" t="n">
        <v>114</v>
      </c>
      <c r="B117" s="10" t="inlineStr">
        <is>
          <t>Shoji K, Schudel S, Shrivastava C, Onwude D, Defraeye T. (2022). Optimizing the postharvest supply chain of imported fresh produce with physics-based digital twins. Journal of Food Engineering, 329, 111077. https://doi.org/10.1016/j.jfoodeng.2022.111077</t>
        </is>
      </c>
      <c r="C117" s="10" t="n">
        <v>2022</v>
      </c>
      <c r="D117" s="10" t="inlineStr">
        <is>
          <t>Optimizing the postharvest supply chain of imported fresh produce with physics-based digital twins</t>
        </is>
      </c>
      <c r="E117" s="10" t="inlineStr">
        <is>
          <t>https://doi.org/10.1016/j.jfoodeng.2022.111077</t>
        </is>
      </c>
      <c r="F117" s="10" t="inlineStr">
        <is>
          <t>Digital twins / modelling / control</t>
        </is>
      </c>
      <c r="G117" s="10" t="inlineStr">
        <is>
          <t>Primary / research article</t>
        </is>
      </c>
      <c r="H117" s="10" t="inlineStr">
        <is>
          <t>No</t>
        </is>
      </c>
      <c r="I117" s="10" t="inlineStr">
        <is>
          <t>No</t>
        </is>
      </c>
      <c r="J117" s="10" t="inlineStr">
        <is>
          <t>No</t>
        </is>
      </c>
      <c r="K117" s="10" t="inlineStr">
        <is>
          <t>No</t>
        </is>
      </c>
      <c r="L117" s="10" t="inlineStr">
        <is>
          <t>No</t>
        </is>
      </c>
      <c r="M117" s="10" t="inlineStr"/>
      <c r="N117" s="10">
        <f>IF(E117="","",IF(COUNTIF($E$4:$E$130,E117)&gt;1,"Duplicate",""))</f>
        <v/>
      </c>
      <c r="O117" s="10" t="inlineStr"/>
      <c r="P117" s="10" t="inlineStr">
        <is>
          <t>Medium</t>
        </is>
      </c>
      <c r="Q117" s="10" t="inlineStr">
        <is>
          <t>Needs verification</t>
        </is>
      </c>
    </row>
    <row r="118">
      <c r="A118" s="10" t="n">
        <v>115</v>
      </c>
      <c r="B118" s="10" t="inlineStr">
        <is>
          <t>Onwude D, Bahrami F, Shrivastava C, Berry T, Cronje P, North J, et al. (2022). Physics-driven digital twins to quantify the impact of pre- and postharvest variability on the end quality evolution of orange fruit. Resources, Conservation and Recycling, 186, 106585. https://doi.org/10.1016/j.resconrec.2022.106585</t>
        </is>
      </c>
      <c r="C118" s="10" t="n">
        <v>2022</v>
      </c>
      <c r="D118" s="10" t="inlineStr">
        <is>
          <t>Physics-driven digital twins to quantify the impact of pre- and postharvest variability on the end quality evolution of orange fruit</t>
        </is>
      </c>
      <c r="E118" s="10" t="inlineStr">
        <is>
          <t>https://doi.org/10.1016/j.resconrec.2022.106585</t>
        </is>
      </c>
      <c r="F118" s="10" t="inlineStr">
        <is>
          <t>Digital twins / modelling / control</t>
        </is>
      </c>
      <c r="G118" s="10" t="inlineStr">
        <is>
          <t>Primary / research article</t>
        </is>
      </c>
      <c r="H118" s="10" t="inlineStr">
        <is>
          <t>No</t>
        </is>
      </c>
      <c r="I118" s="10" t="inlineStr">
        <is>
          <t>No</t>
        </is>
      </c>
      <c r="J118" s="10" t="inlineStr">
        <is>
          <t>No</t>
        </is>
      </c>
      <c r="K118" s="10" t="inlineStr">
        <is>
          <t>No</t>
        </is>
      </c>
      <c r="L118" s="10" t="inlineStr">
        <is>
          <t>No</t>
        </is>
      </c>
      <c r="M118" s="10" t="inlineStr"/>
      <c r="N118" s="10">
        <f>IF(E118="","",IF(COUNTIF($E$4:$E$130,E118)&gt;1,"Duplicate",""))</f>
        <v/>
      </c>
      <c r="O118" s="10" t="inlineStr"/>
      <c r="P118" s="10" t="inlineStr">
        <is>
          <t>Medium</t>
        </is>
      </c>
      <c r="Q118" s="10" t="inlineStr">
        <is>
          <t>Needs verification</t>
        </is>
      </c>
    </row>
    <row r="119">
      <c r="A119" s="10" t="n">
        <v>116</v>
      </c>
      <c r="B119" s="10" t="inlineStr">
        <is>
          <t>Onwude D, Cronje P, North J, Defraeye T. (2024). Digital replica to unveil the impact of growing conditions on orange postharvest quality. Scientific Reports, 14(1), 14437. https://doi.org/10.1038/s41598-024-65285-w</t>
        </is>
      </c>
      <c r="C119" s="10" t="n">
        <v>2024</v>
      </c>
      <c r="D119" s="10" t="inlineStr">
        <is>
          <t>Digital replica to unveil the impact of growing conditions on orange postharvest quality</t>
        </is>
      </c>
      <c r="E119" s="10" t="inlineStr">
        <is>
          <t>https://doi.org/10.1038/s41598-024-65285-w</t>
        </is>
      </c>
      <c r="F119" s="10" t="inlineStr">
        <is>
          <t>Digital twins / modelling / control</t>
        </is>
      </c>
      <c r="G119" s="10" t="inlineStr">
        <is>
          <t>Primary / research article</t>
        </is>
      </c>
      <c r="H119" s="10" t="inlineStr">
        <is>
          <t>Yes</t>
        </is>
      </c>
      <c r="I119" s="10" t="inlineStr">
        <is>
          <t>No</t>
        </is>
      </c>
      <c r="J119" s="10" t="inlineStr">
        <is>
          <t>No</t>
        </is>
      </c>
      <c r="K119" s="10" t="inlineStr">
        <is>
          <t>No</t>
        </is>
      </c>
      <c r="L119" s="10" t="inlineStr">
        <is>
          <t>No</t>
        </is>
      </c>
      <c r="M119" s="10" t="inlineStr"/>
      <c r="N119" s="10">
        <f>IF(E119="","",IF(COUNTIF($E$4:$E$130,E119)&gt;1,"Duplicate",""))</f>
        <v/>
      </c>
      <c r="O119" s="10" t="inlineStr"/>
      <c r="P119" s="10" t="inlineStr">
        <is>
          <t>Medium</t>
        </is>
      </c>
      <c r="Q119" s="10" t="inlineStr">
        <is>
          <t>Needs verification</t>
        </is>
      </c>
    </row>
    <row r="120">
      <c r="A120" s="10" t="n">
        <v>117</v>
      </c>
      <c r="B120" s="10" t="inlineStr">
        <is>
          <t>Onwude D, North J, Cronje P, Schouten R, Defraeye T. (2024). Digital twins to quantify the impact of growing variability on the harvest quality of orange. Scientia Horticulturae, 331, 113129. https://doi.org/10.1016/j.scienta.2024.113129</t>
        </is>
      </c>
      <c r="C120" s="10" t="n">
        <v>2024</v>
      </c>
      <c r="D120" s="10" t="inlineStr">
        <is>
          <t>Digital twins to quantify the impact of growing variability on the harvest quality of orange</t>
        </is>
      </c>
      <c r="E120" s="10" t="inlineStr">
        <is>
          <t>https://doi.org/10.1016/j.scienta.2024.113129</t>
        </is>
      </c>
      <c r="F120" s="10" t="inlineStr">
        <is>
          <t>Digital twins / modelling / control</t>
        </is>
      </c>
      <c r="G120" s="10" t="inlineStr">
        <is>
          <t>Primary / research article</t>
        </is>
      </c>
      <c r="H120" s="10" t="inlineStr">
        <is>
          <t>Yes</t>
        </is>
      </c>
      <c r="I120" s="10" t="inlineStr">
        <is>
          <t>No</t>
        </is>
      </c>
      <c r="J120" s="10" t="inlineStr">
        <is>
          <t>No</t>
        </is>
      </c>
      <c r="K120" s="10" t="inlineStr">
        <is>
          <t>No</t>
        </is>
      </c>
      <c r="L120" s="10" t="inlineStr">
        <is>
          <t>No</t>
        </is>
      </c>
      <c r="M120" s="10" t="inlineStr"/>
      <c r="N120" s="10">
        <f>IF(E120="","",IF(COUNTIF($E$4:$E$130,E120)&gt;1,"Duplicate",""))</f>
        <v/>
      </c>
      <c r="O120" s="10" t="inlineStr"/>
      <c r="P120" s="10" t="inlineStr">
        <is>
          <t>Medium</t>
        </is>
      </c>
      <c r="Q120" s="10" t="inlineStr">
        <is>
          <t>Needs verification</t>
        </is>
      </c>
    </row>
    <row r="121">
      <c r="A121" s="10" t="n">
        <v>118</v>
      </c>
      <c r="B121" s="10" t="inlineStr">
        <is>
          <t>Shrivastava C, Schudel S, Shoji K, Onwude D, da Silva FP, Turan D, et al. (2023). Digital twins for selecting the optimal ventilated strawberry packaging based on the unique hygrothermal conditions of a shipment from farm to retailer. Postharvest Biology and Technology, 199, 112283. https://doi.org/10.1016/j.postharvbio.2023.112283</t>
        </is>
      </c>
      <c r="C121" s="10" t="n">
        <v>2023</v>
      </c>
      <c r="D121" s="10" t="inlineStr">
        <is>
          <t>Digital twins for selecting the optimal ventilated strawberry packaging based on the unique hygrothermal conditions of a shipment from farm to retailer</t>
        </is>
      </c>
      <c r="E121" s="10" t="inlineStr">
        <is>
          <t>https://doi.org/10.1016/j.postharvbio.2023.112283</t>
        </is>
      </c>
      <c r="F121" s="10" t="inlineStr">
        <is>
          <t>Digital twins / modelling / control</t>
        </is>
      </c>
      <c r="G121" s="10" t="inlineStr">
        <is>
          <t>Primary / research article</t>
        </is>
      </c>
      <c r="H121" s="10" t="inlineStr">
        <is>
          <t>No</t>
        </is>
      </c>
      <c r="I121" s="10" t="inlineStr">
        <is>
          <t>No</t>
        </is>
      </c>
      <c r="J121" s="10" t="inlineStr">
        <is>
          <t>No</t>
        </is>
      </c>
      <c r="K121" s="10" t="inlineStr">
        <is>
          <t>No</t>
        </is>
      </c>
      <c r="L121" s="10" t="inlineStr">
        <is>
          <t>No</t>
        </is>
      </c>
      <c r="M121" s="10" t="inlineStr"/>
      <c r="N121" s="10">
        <f>IF(E121="","",IF(COUNTIF($E$4:$E$130,E121)&gt;1,"Duplicate",""))</f>
        <v/>
      </c>
      <c r="O121" s="10" t="inlineStr"/>
      <c r="P121" s="10" t="inlineStr">
        <is>
          <t>Medium</t>
        </is>
      </c>
      <c r="Q121" s="10" t="inlineStr">
        <is>
          <t>Needs verification</t>
        </is>
      </c>
    </row>
    <row r="122">
      <c r="A122" s="10" t="n">
        <v>119</v>
      </c>
      <c r="B122" s="10" t="inlineStr">
        <is>
          <t>Defraeye T, Verreydt C, Gonthier J, Lukasse L, Cronjé P, Berry T. (2024). The virtual container: Physics-based simulation of refrigerated container map temperature and fruit quality evolution and variability in a shipment. Postharvest Biology and Technology, 211, 112722. https://doi.org/10.1016/j.postharvbio.2023.112722</t>
        </is>
      </c>
      <c r="C122" s="10" t="n">
        <v>2024</v>
      </c>
      <c r="D122" s="10" t="inlineStr">
        <is>
          <t>The virtual container: Physics-based simulation of refrigerated container map temperature and fruit quality evolution and variability in a shipment</t>
        </is>
      </c>
      <c r="E122" s="10" t="inlineStr">
        <is>
          <t>https://doi.org/10.1016/j.postharvbio.2023.112722</t>
        </is>
      </c>
      <c r="F122" s="10" t="inlineStr">
        <is>
          <t>Digital twins / modelling / control</t>
        </is>
      </c>
      <c r="G122" s="10" t="inlineStr">
        <is>
          <t>Primary / research article</t>
        </is>
      </c>
      <c r="H122" s="10" t="inlineStr">
        <is>
          <t>Yes</t>
        </is>
      </c>
      <c r="I122" s="10" t="inlineStr">
        <is>
          <t>No</t>
        </is>
      </c>
      <c r="J122" s="10" t="inlineStr">
        <is>
          <t>No</t>
        </is>
      </c>
      <c r="K122" s="10" t="inlineStr">
        <is>
          <t>No</t>
        </is>
      </c>
      <c r="L122" s="10" t="inlineStr">
        <is>
          <t>No</t>
        </is>
      </c>
      <c r="M122" s="10" t="inlineStr"/>
      <c r="N122" s="10">
        <f>IF(E122="","",IF(COUNTIF($E$4:$E$130,E122)&gt;1,"Duplicate",""))</f>
        <v/>
      </c>
      <c r="O122" s="10" t="inlineStr"/>
      <c r="P122" s="10" t="inlineStr">
        <is>
          <t>Medium</t>
        </is>
      </c>
      <c r="Q122" s="10" t="inlineStr">
        <is>
          <t>Needs verification</t>
        </is>
      </c>
    </row>
    <row r="123">
      <c r="A123" s="10" t="n">
        <v>120</v>
      </c>
      <c r="B123" s="10" t="inlineStr">
        <is>
          <t>Melesse TY, Bollo M, Pasquale VD, Centro F, Riemma S. (2022). Machine Learning-Based Digital Twin for Monitoring Fruit Quality Evolution. Procedia Computer Science, 200, 13-20. https://doi.org/10.1016/j.procs.2022.01.200</t>
        </is>
      </c>
      <c r="C123" s="10" t="n">
        <v>2022</v>
      </c>
      <c r="D123" s="10" t="inlineStr">
        <is>
          <t>Machine Learning-Based Digital Twin for Monitoring Fruit Quality Evolution</t>
        </is>
      </c>
      <c r="E123" s="10" t="inlineStr">
        <is>
          <t>https://doi.org/10.1016/j.procs.2022.01.200</t>
        </is>
      </c>
      <c r="F123" s="10" t="inlineStr">
        <is>
          <t>Digital twins / modelling / control</t>
        </is>
      </c>
      <c r="G123" s="10" t="inlineStr">
        <is>
          <t>Primary / research article</t>
        </is>
      </c>
      <c r="H123" s="10" t="inlineStr">
        <is>
          <t>No</t>
        </is>
      </c>
      <c r="I123" s="10" t="inlineStr">
        <is>
          <t>No</t>
        </is>
      </c>
      <c r="J123" s="10" t="inlineStr">
        <is>
          <t>No</t>
        </is>
      </c>
      <c r="K123" s="10" t="inlineStr">
        <is>
          <t>No</t>
        </is>
      </c>
      <c r="L123" s="10" t="inlineStr">
        <is>
          <t>No</t>
        </is>
      </c>
      <c r="M123" s="10" t="inlineStr"/>
      <c r="N123" s="10">
        <f>IF(E123="","",IF(COUNTIF($E$4:$E$130,E123)&gt;1,"Duplicate",""))</f>
        <v/>
      </c>
      <c r="O123" s="10" t="inlineStr"/>
      <c r="P123" s="10" t="inlineStr">
        <is>
          <t>Medium</t>
        </is>
      </c>
      <c r="Q123" s="10" t="inlineStr">
        <is>
          <t>Needs verification</t>
        </is>
      </c>
    </row>
    <row r="124">
      <c r="A124" s="10" t="n">
        <v>121</v>
      </c>
      <c r="B124" s="10" t="inlineStr">
        <is>
          <t>Kannapinn M, Pham MK, Schäfer M. (2022). Physics-based digital twins for autonomous thermal food processing: Efficient, non-intrusive reduced-order modeling. Innovative Food Science &amp; Emerging Technologies, 81, 103143. https://doi.org/10.1016/j.ifset.2022.103143</t>
        </is>
      </c>
      <c r="C124" s="10" t="n">
        <v>2022</v>
      </c>
      <c r="D124" s="10" t="inlineStr">
        <is>
          <t>Physics-based digital twins for autonomous thermal food processing: Efficient</t>
        </is>
      </c>
      <c r="E124" s="10" t="inlineStr">
        <is>
          <t>https://doi.org/10.1016/j.ifset.2022.103143</t>
        </is>
      </c>
      <c r="F124" s="10" t="inlineStr">
        <is>
          <t>Digital twins / modelling / control</t>
        </is>
      </c>
      <c r="G124" s="10" t="inlineStr">
        <is>
          <t>Primary / research article</t>
        </is>
      </c>
      <c r="H124" s="10" t="inlineStr">
        <is>
          <t>No</t>
        </is>
      </c>
      <c r="I124" s="10" t="inlineStr">
        <is>
          <t>No</t>
        </is>
      </c>
      <c r="J124" s="10" t="inlineStr">
        <is>
          <t>No</t>
        </is>
      </c>
      <c r="K124" s="10" t="inlineStr">
        <is>
          <t>No</t>
        </is>
      </c>
      <c r="L124" s="10" t="inlineStr">
        <is>
          <t>No</t>
        </is>
      </c>
      <c r="M124" s="10" t="inlineStr"/>
      <c r="N124" s="10">
        <f>IF(E124="","",IF(COUNTIF($E$4:$E$130,E124)&gt;1,"Duplicate",""))</f>
        <v/>
      </c>
      <c r="O124" s="10" t="inlineStr"/>
      <c r="P124" s="10" t="inlineStr">
        <is>
          <t>Medium</t>
        </is>
      </c>
      <c r="Q124" s="10" t="inlineStr">
        <is>
          <t>Needs verification</t>
        </is>
      </c>
    </row>
    <row r="125">
      <c r="A125" s="10" t="n">
        <v>122</v>
      </c>
      <c r="B125" s="10" t="inlineStr">
        <is>
          <t>Cabeza-Gil I, Ríos-Ruiz I, Martínez MÁ, Calvo B, Grasa J. (2023). Digital twins for monitoring and predicting the cooking of food products: A case study for a French crêpe. Journal of Food Engineering, 359, 111697. https://doi.org/10.1016/j.jfoodeng.2023.111697</t>
        </is>
      </c>
      <c r="C125" s="10" t="n">
        <v>2023</v>
      </c>
      <c r="D125" s="10" t="inlineStr">
        <is>
          <t>Digital twins for monitoring and predicting the cooking of food products: A case study for a French crêpe</t>
        </is>
      </c>
      <c r="E125" s="10" t="inlineStr">
        <is>
          <t>https://doi.org/10.1016/j.jfoodeng.2023.111697</t>
        </is>
      </c>
      <c r="F125" s="10" t="inlineStr">
        <is>
          <t>Digital twins / modelling / control</t>
        </is>
      </c>
      <c r="G125" s="10" t="inlineStr">
        <is>
          <t>Primary / research article</t>
        </is>
      </c>
      <c r="H125" s="10" t="inlineStr">
        <is>
          <t>No</t>
        </is>
      </c>
      <c r="I125" s="10" t="inlineStr">
        <is>
          <t>No</t>
        </is>
      </c>
      <c r="J125" s="10" t="inlineStr">
        <is>
          <t>No</t>
        </is>
      </c>
      <c r="K125" s="10" t="inlineStr">
        <is>
          <t>No</t>
        </is>
      </c>
      <c r="L125" s="10" t="inlineStr">
        <is>
          <t>No</t>
        </is>
      </c>
      <c r="M125" s="10" t="inlineStr"/>
      <c r="N125" s="10">
        <f>IF(E125="","",IF(COUNTIF($E$4:$E$130,E125)&gt;1,"Duplicate",""))</f>
        <v/>
      </c>
      <c r="O125" s="10" t="inlineStr"/>
      <c r="P125" s="10" t="inlineStr">
        <is>
          <t>Medium</t>
        </is>
      </c>
      <c r="Q125" s="10" t="inlineStr">
        <is>
          <t>Needs verification</t>
        </is>
      </c>
    </row>
    <row r="126">
      <c r="A126" s="10" t="n">
        <v>123</v>
      </c>
      <c r="B126" s="10" t="inlineStr">
        <is>
          <t>Schemminger J, Raut S, Sturm B, Defraeye T. (2024). A hybrid digital shadow to assess biological variability in carrot slices during drying. Thermal Science and Engineering Progress, 50, 102507. https://doi.org/10.1016/j.tsep.2024.102507</t>
        </is>
      </c>
      <c r="C126" s="10" t="n">
        <v>2024</v>
      </c>
      <c r="D126" s="10" t="inlineStr">
        <is>
          <t>A hybrid digital shadow to assess biological variability in carrot slices during drying</t>
        </is>
      </c>
      <c r="E126" s="10" t="inlineStr">
        <is>
          <t>https://doi.org/10.1016/j.tsep.2024.102507</t>
        </is>
      </c>
      <c r="F126" s="10" t="inlineStr">
        <is>
          <t>Digital twins / modelling / control</t>
        </is>
      </c>
      <c r="G126" s="10" t="inlineStr">
        <is>
          <t>Primary / research article</t>
        </is>
      </c>
      <c r="H126" s="10" t="inlineStr">
        <is>
          <t>Yes</t>
        </is>
      </c>
      <c r="I126" s="10" t="inlineStr">
        <is>
          <t>No</t>
        </is>
      </c>
      <c r="J126" s="10" t="inlineStr">
        <is>
          <t>No</t>
        </is>
      </c>
      <c r="K126" s="10" t="inlineStr">
        <is>
          <t>No</t>
        </is>
      </c>
      <c r="L126" s="10" t="inlineStr">
        <is>
          <t>No</t>
        </is>
      </c>
      <c r="M126" s="10" t="inlineStr"/>
      <c r="N126" s="10">
        <f>IF(E126="","",IF(COUNTIF($E$4:$E$130,E126)&gt;1,"Duplicate",""))</f>
        <v/>
      </c>
      <c r="O126" s="10" t="inlineStr"/>
      <c r="P126" s="10" t="inlineStr">
        <is>
          <t>Medium</t>
        </is>
      </c>
      <c r="Q126" s="10" t="inlineStr">
        <is>
          <t>Needs verification</t>
        </is>
      </c>
    </row>
    <row r="127">
      <c r="A127" s="10" t="n">
        <v>124</v>
      </c>
      <c r="B127" s="10" t="inlineStr">
        <is>
          <t>do Rosário DKA, da Silva Mutz Y, Peixoto JMC, Oliveira SBS, de Carvalho RV, Carneiro JCS, et al. (2017). Ultrasound improves chemical reduction of natural contaminant microbiota and Salmonella enterica subsp. enterica on strawberries. International Journal of Food Microbiology, 241, 23-29. https://doi.org/10.1016/j.ijfoodmicro.2016.10.009</t>
        </is>
      </c>
      <c r="C127" s="10" t="n">
        <v>2017</v>
      </c>
      <c r="D127" s="10" t="inlineStr">
        <is>
          <t>Ultrasound improves chemical reduction of natural contaminant microbiota and Salmonella enterica subsp</t>
        </is>
      </c>
      <c r="E127" s="10" t="inlineStr">
        <is>
          <t>https://doi.org/10.1016/j.ijfoodmicro.2016.10.009</t>
        </is>
      </c>
      <c r="F127" s="10" t="inlineStr">
        <is>
          <t>Ultrasound + sanitizer studies</t>
        </is>
      </c>
      <c r="G127" s="10" t="inlineStr">
        <is>
          <t>Primary / research article</t>
        </is>
      </c>
      <c r="H127" s="10" t="inlineStr">
        <is>
          <t>No</t>
        </is>
      </c>
      <c r="I127" s="10" t="inlineStr">
        <is>
          <t>No</t>
        </is>
      </c>
      <c r="J127" s="10" t="inlineStr">
        <is>
          <t>No</t>
        </is>
      </c>
      <c r="K127" s="10" t="inlineStr">
        <is>
          <t>No</t>
        </is>
      </c>
      <c r="L127" s="10" t="inlineStr">
        <is>
          <t>No</t>
        </is>
      </c>
      <c r="M127" s="10" t="inlineStr"/>
      <c r="N127" s="10">
        <f>IF(E127="","",IF(COUNTIF($E$4:$E$130,E127)&gt;1,"Duplicate",""))</f>
        <v/>
      </c>
      <c r="O127" s="10" t="inlineStr"/>
      <c r="P127" s="10" t="inlineStr">
        <is>
          <t>Medium</t>
        </is>
      </c>
      <c r="Q127" s="10" t="inlineStr">
        <is>
          <t>Needs verification</t>
        </is>
      </c>
    </row>
    <row r="128">
      <c r="A128" s="10" t="n">
        <v>125</v>
      </c>
      <c r="B128" s="10" t="inlineStr">
        <is>
          <t>Brilhante São José JF, Dantas Vanetti MC. (2012). Effect of ultrasound and commercial sanitizers in removing natural contaminants and Salmonella enterica Typhimurium on cherry tomatoes. Food Control, 24(1-2), 95-99. https://doi.org/10.1016/j.foodcont.2011.09.008</t>
        </is>
      </c>
      <c r="C128" s="10" t="n">
        <v>2012</v>
      </c>
      <c r="D128" s="10" t="inlineStr">
        <is>
          <t>Effect of ultrasound and commercial sanitizers in removing natural contaminants and Salmonella enterica Typhimurium on cherry tomatoes</t>
        </is>
      </c>
      <c r="E128" s="10" t="inlineStr">
        <is>
          <t>https://doi.org/10.1016/j.foodcont.2011.09.008</t>
        </is>
      </c>
      <c r="F128" s="10" t="inlineStr">
        <is>
          <t>Ultrasound + sanitizer studies</t>
        </is>
      </c>
      <c r="G128" s="10" t="inlineStr">
        <is>
          <t>Primary / research article</t>
        </is>
      </c>
      <c r="H128" s="10" t="inlineStr">
        <is>
          <t>No</t>
        </is>
      </c>
      <c r="I128" s="10" t="inlineStr">
        <is>
          <t>No</t>
        </is>
      </c>
      <c r="J128" s="10" t="inlineStr">
        <is>
          <t>No</t>
        </is>
      </c>
      <c r="K128" s="10" t="inlineStr">
        <is>
          <t>No</t>
        </is>
      </c>
      <c r="L128" s="10" t="inlineStr">
        <is>
          <t>No</t>
        </is>
      </c>
      <c r="M128" s="10" t="inlineStr"/>
      <c r="N128" s="10">
        <f>IF(E128="","",IF(COUNTIF($E$4:$E$130,E128)&gt;1,"Duplicate",""))</f>
        <v/>
      </c>
      <c r="O128" s="10" t="inlineStr"/>
      <c r="P128" s="10" t="inlineStr">
        <is>
          <t>Medium</t>
        </is>
      </c>
      <c r="Q128" s="10" t="inlineStr">
        <is>
          <t>Needs verification</t>
        </is>
      </c>
    </row>
    <row r="129">
      <c r="A129" s="10" t="n">
        <v>126</v>
      </c>
      <c r="B129" s="10" t="inlineStr">
        <is>
          <t>Aweta. Technology and software: AFS Sense firmness assessment technology. Available at: https://www.aweta.com/technology/ (accessed 15 September 2026).</t>
        </is>
      </c>
      <c r="C129" s="10" t="inlineStr"/>
      <c r="D129" s="10" t="inlineStr">
        <is>
          <t>Available at: https://www.aweta.com/technology/ (accessed 15 September 2026).</t>
        </is>
      </c>
      <c r="E129" s="10" t="inlineStr">
        <is>
          <t>https://www.aweta.com/technology/</t>
        </is>
      </c>
      <c r="F129" s="10" t="inlineStr">
        <is>
          <t>Commercial vendor evidence</t>
        </is>
      </c>
      <c r="G129" s="10" t="inlineStr">
        <is>
          <t>Vendor webpage</t>
        </is>
      </c>
      <c r="H129" s="10" t="inlineStr">
        <is>
          <t>No</t>
        </is>
      </c>
      <c r="I129" s="10" t="inlineStr">
        <is>
          <t>No</t>
        </is>
      </c>
      <c r="J129" s="10" t="inlineStr">
        <is>
          <t>No</t>
        </is>
      </c>
      <c r="K129" s="10" t="inlineStr">
        <is>
          <t>No</t>
        </is>
      </c>
      <c r="L129" s="10" t="inlineStr">
        <is>
          <t>No</t>
        </is>
      </c>
      <c r="M129" s="10" t="inlineStr"/>
      <c r="N129" s="10">
        <f>IF(E129="","",IF(COUNTIF($E$4:$E$130,E129)&gt;1,"Duplicate",""))</f>
        <v/>
      </c>
      <c r="O129" s="10" t="inlineStr"/>
      <c r="P129" s="10" t="inlineStr">
        <is>
          <t>High</t>
        </is>
      </c>
      <c r="Q129" s="10" t="inlineStr">
        <is>
          <t>Needs verification</t>
        </is>
      </c>
    </row>
    <row r="130">
      <c r="A130" s="10" t="n">
        <v>127</v>
      </c>
      <c r="B130" s="10" t="inlineStr">
        <is>
          <t>International Council for Harmonisation. ICH Harmonised Guideline Q8(R2): Pharmaceutical Development. August 2009. Available at: https://database.ich.org/sites/default/files/Q8_R2_Guideline.pdf (accessed 15 September 2026).</t>
        </is>
      </c>
      <c r="C130" s="10" t="inlineStr"/>
      <c r="D130" s="10" t="inlineStr">
        <is>
          <t>August 2009</t>
        </is>
      </c>
      <c r="E130" s="10" t="inlineStr">
        <is>
          <t>https://database.ich.org/sites/default/files/Q8_R2_Guideline.pdf</t>
        </is>
      </c>
      <c r="F130" s="10" t="inlineStr">
        <is>
          <t>Design-space guideline / analogy</t>
        </is>
      </c>
      <c r="G130" s="10" t="inlineStr">
        <is>
          <t>Guideline / standard</t>
        </is>
      </c>
      <c r="H130" s="10" t="inlineStr">
        <is>
          <t>No</t>
        </is>
      </c>
      <c r="I130" s="10" t="inlineStr">
        <is>
          <t>No</t>
        </is>
      </c>
      <c r="J130" s="10" t="inlineStr">
        <is>
          <t>No</t>
        </is>
      </c>
      <c r="K130" s="10" t="inlineStr">
        <is>
          <t>No</t>
        </is>
      </c>
      <c r="L130" s="10" t="inlineStr">
        <is>
          <t>No</t>
        </is>
      </c>
      <c r="M130" s="10" t="inlineStr"/>
      <c r="N130" s="10">
        <f>IF(E130="","",IF(COUNTIF($E$4:$E$130,E130)&gt;1,"Duplicate",""))</f>
        <v/>
      </c>
      <c r="O130" s="10" t="inlineStr"/>
      <c r="P130" s="10" t="inlineStr">
        <is>
          <t>High</t>
        </is>
      </c>
      <c r="Q130" s="10" t="inlineStr">
        <is>
          <t>Needs verification</t>
        </is>
      </c>
    </row>
  </sheetData>
  <mergeCells count="2">
    <mergeCell ref="A2:Q2"/>
    <mergeCell ref="A1:Q1"/>
  </mergeCells>
  <conditionalFormatting sqref="P4:P130">
    <cfRule type="expression" priority="1" dxfId="4">
      <formula>$P4="Critical"</formula>
    </cfRule>
    <cfRule type="expression" priority="2" dxfId="3">
      <formula>$P4="High"</formula>
    </cfRule>
    <cfRule type="expression" priority="3" dxfId="2">
      <formula>$P4="Medium"</formula>
    </cfRule>
    <cfRule type="expression" priority="4" dxfId="0">
      <formula>$P4="Low"</formula>
    </cfRule>
  </conditionalFormatting>
  <conditionalFormatting sqref="Q4:Q130">
    <cfRule type="expression" priority="5" dxfId="0">
      <formula>$Q4="Complete"</formula>
    </cfRule>
    <cfRule type="expression" priority="6" dxfId="1">
      <formula>$Q4="In progress"</formula>
    </cfRule>
    <cfRule type="expression" priority="7" dxfId="2">
      <formula>$Q4="Needs verification"</formula>
    </cfRule>
    <cfRule type="expression" priority="8" dxfId="3">
      <formula>$Q4="Needs revision"</formula>
    </cfRule>
    <cfRule type="expression" priority="9" dxfId="4">
      <formula>$Q4="Not started"</formula>
    </cfRule>
    <cfRule type="expression" priority="10" dxfId="5">
      <formula>$Q4="Not applicable"</formula>
    </cfRule>
  </conditionalFormatting>
  <conditionalFormatting sqref="N4:N130">
    <cfRule type="expression" priority="11" dxfId="4">
      <formula>N4="Duplicate"</formula>
    </cfRule>
  </conditionalFormatting>
  <dataValidations count="3">
    <dataValidation sqref="I4:L130" showDropDown="0" showInputMessage="0" showErrorMessage="0" allowBlank="1" type="list">
      <formula1>=Lists!$G$2:$G$5</formula1>
    </dataValidation>
    <dataValidation sqref="P4:P130" showDropDown="0" showInputMessage="0" showErrorMessage="0" allowBlank="1" type="list">
      <formula1>=Lists!$C$2:$C$5</formula1>
    </dataValidation>
    <dataValidation sqref="Q4:Q130" showDropDown="0" showInputMessage="0" showErrorMessage="0" allowBlank="1" type="list">
      <formula1>=Lists!$A$2:$A$7</formula1>
    </dataValidation>
  </dataValidations>
  <pageMargins left="0.25" right="0.25" top="0.4" bottom="0.4" header="0.5" footer="0.5"/>
  <pageSetup orientation="landscape" fitToHeight="0" fitToWidth="1"/>
  <tableParts count="1">
    <tablePart xmlns:r="http://schemas.openxmlformats.org/officeDocument/2006/relationships" r:id="rId1"/>
  </tableParts>
</worksheet>
</file>

<file path=xl/worksheets/sheet14.xml><?xml version="1.0" encoding="utf-8"?>
<worksheet xmlns="http://schemas.openxmlformats.org/spreadsheetml/2006/main">
  <sheetPr>
    <tabColor rgb="00BF9000"/>
    <outlinePr summaryBelow="1" summaryRight="1"/>
    <pageSetUpPr fitToPage="1"/>
  </sheetPr>
  <dimension ref="A1:L25"/>
  <sheetViews>
    <sheetView showGridLines="0" zoomScale="85" workbookViewId="0">
      <pane ySplit="3" topLeftCell="A4" activePane="bottomLeft" state="frozen"/>
      <selection pane="bottomLeft" activeCell="A1" sqref="A1"/>
    </sheetView>
  </sheetViews>
  <sheetFormatPr baseColWidth="8" defaultRowHeight="15"/>
  <cols>
    <col width="8" customWidth="1" min="1" max="1"/>
    <col width="32" customWidth="1" min="2" max="2"/>
    <col width="46" customWidth="1" min="3" max="3"/>
    <col width="40" customWidth="1" min="4" max="4"/>
    <col width="32" customWidth="1" min="5" max="5"/>
    <col width="14" customWidth="1" min="6" max="6"/>
    <col width="18" customWidth="1" min="7" max="7"/>
    <col width="12" customWidth="1" min="8" max="8"/>
    <col width="42" customWidth="1" min="9" max="9"/>
    <col width="15" customWidth="1" min="10" max="10"/>
    <col width="13" customWidth="1" min="11" max="11"/>
    <col width="28" customWidth="1" min="12" max="12"/>
  </cols>
  <sheetData>
    <row r="1" ht="30" customHeight="1">
      <c r="A1" s="1" t="inlineStr">
        <is>
          <t>TIFS Submission and Package Compliance Audit</t>
        </is>
      </c>
    </row>
    <row r="2" ht="28" customHeight="1">
      <c r="A2" s="2" t="inlineStr">
        <is>
          <t>Numeric article-type limits must be checked against the live Guide for Authors / Editorial Manager. Unverified AI-generated limits are not treated as official.</t>
        </is>
      </c>
    </row>
    <row r="3">
      <c r="A3" s="9" t="inlineStr">
        <is>
          <t>ID</t>
        </is>
      </c>
      <c r="B3" s="9" t="inlineStr">
        <is>
          <t>Requirement / check</t>
        </is>
      </c>
      <c r="C3" s="9" t="inlineStr">
        <is>
          <t>Current manuscript state</t>
        </is>
      </c>
      <c r="D3" s="9" t="inlineStr">
        <is>
          <t>Target / rule</t>
        </is>
      </c>
      <c r="E3" s="9" t="inlineStr">
        <is>
          <t>Verification source</t>
        </is>
      </c>
      <c r="F3" s="9" t="inlineStr">
        <is>
          <t>Compliant?</t>
        </is>
      </c>
      <c r="G3" s="9" t="inlineStr">
        <is>
          <t>Status</t>
        </is>
      </c>
      <c r="H3" s="9" t="inlineStr">
        <is>
          <t>Priority</t>
        </is>
      </c>
      <c r="I3" s="9" t="inlineStr">
        <is>
          <t>Required action</t>
        </is>
      </c>
      <c r="J3" s="9" t="inlineStr">
        <is>
          <t>Owner</t>
        </is>
      </c>
      <c r="K3" s="9" t="inlineStr">
        <is>
          <t>Due date</t>
        </is>
      </c>
      <c r="L3" s="9" t="inlineStr">
        <is>
          <t>Notes</t>
        </is>
      </c>
    </row>
    <row r="4">
      <c r="A4" s="10" t="inlineStr">
        <is>
          <t>J01</t>
        </is>
      </c>
      <c r="B4" s="10" t="inlineStr">
        <is>
          <t>Article type</t>
        </is>
      </c>
      <c r="C4" s="10" t="inlineStr">
        <is>
          <t>Critical review and research agenda.</t>
        </is>
      </c>
      <c r="D4" s="10" t="inlineStr">
        <is>
          <t>Confirm accepted article type and invitation requirements, if any.</t>
        </is>
      </c>
      <c r="E4" s="10" t="inlineStr">
        <is>
          <t>Live TIFS Guide for Authors / Editorial Manager</t>
        </is>
      </c>
      <c r="F4" s="10" t="inlineStr">
        <is>
          <t>Partial</t>
        </is>
      </c>
      <c r="G4" s="10" t="inlineStr">
        <is>
          <t>Needs verification</t>
        </is>
      </c>
      <c r="H4" s="10" t="inlineStr">
        <is>
          <t>Critical</t>
        </is>
      </c>
      <c r="I4" s="10" t="inlineStr">
        <is>
          <t>Verify current article-type policy.</t>
        </is>
      </c>
      <c r="J4" s="10" t="inlineStr"/>
      <c r="K4" s="10" t="inlineStr"/>
      <c r="L4" s="10" t="inlineStr"/>
    </row>
    <row r="5">
      <c r="A5" s="10" t="inlineStr">
        <is>
          <t>J02</t>
        </is>
      </c>
      <c r="B5" s="10" t="inlineStr">
        <is>
          <t>Title</t>
        </is>
      </c>
      <c r="C5" s="10" t="inlineStr">
        <is>
          <t>From Sound to Shelf: Mechanisms, Evidence, and Receiver-Centred Process Design for Acoustic Processing of Intact Fruit</t>
        </is>
      </c>
      <c r="D5" s="10" t="inlineStr">
        <is>
          <t>Concise, searchable and scope-accurate.</t>
        </is>
      </c>
      <c r="E5" s="10" t="inlineStr">
        <is>
          <t>Editorial judgement</t>
        </is>
      </c>
      <c r="F5" s="10" t="inlineStr">
        <is>
          <t>Yes</t>
        </is>
      </c>
      <c r="G5" s="10" t="inlineStr">
        <is>
          <t>Complete</t>
        </is>
      </c>
      <c r="H5" s="10" t="inlineStr">
        <is>
          <t>High</t>
        </is>
      </c>
      <c r="I5" s="10" t="inlineStr">
        <is>
          <t>Keep receiver-centred novelty visible.</t>
        </is>
      </c>
      <c r="J5" s="10" t="inlineStr"/>
      <c r="K5" s="10" t="inlineStr"/>
      <c r="L5" s="10" t="inlineStr"/>
    </row>
    <row r="6">
      <c r="A6" s="10" t="inlineStr">
        <is>
          <t>J03</t>
        </is>
      </c>
      <c r="B6" s="10" t="inlineStr">
        <is>
          <t>Abstract word count</t>
        </is>
      </c>
      <c r="C6" s="10" t="n">
        <v>244</v>
      </c>
      <c r="D6" s="10" t="inlineStr">
        <is>
          <t>Check current TIFS limit.</t>
        </is>
      </c>
      <c r="E6" s="10" t="inlineStr">
        <is>
          <t>Live Guide for Authors</t>
        </is>
      </c>
      <c r="F6" s="10">
        <f>IF(C6&lt;=250,"Yes","Partial")</f>
        <v/>
      </c>
      <c r="G6" s="10" t="inlineStr">
        <is>
          <t>Needs verification</t>
        </is>
      </c>
      <c r="H6" s="10" t="inlineStr">
        <is>
          <t>High</t>
        </is>
      </c>
      <c r="I6" s="10" t="inlineStr">
        <is>
          <t>Confirm current limit and final count.</t>
        </is>
      </c>
      <c r="J6" s="10" t="inlineStr"/>
      <c r="K6" s="10" t="inlineStr"/>
      <c r="L6" s="10" t="inlineStr"/>
    </row>
    <row r="7">
      <c r="A7" s="10" t="inlineStr">
        <is>
          <t>J04</t>
        </is>
      </c>
      <c r="B7" s="10" t="inlineStr">
        <is>
          <t>Main text word count</t>
        </is>
      </c>
      <c r="C7" s="10" t="n">
        <v>5475</v>
      </c>
      <c r="D7" s="10" t="inlineStr">
        <is>
          <t>Check current review limit and what is excluded.</t>
        </is>
      </c>
      <c r="E7" s="10" t="inlineStr">
        <is>
          <t>Live Guide for Authors</t>
        </is>
      </c>
      <c r="F7" s="10" t="inlineStr">
        <is>
          <t>Partial</t>
        </is>
      </c>
      <c r="G7" s="10" t="inlineStr">
        <is>
          <t>Needs verification</t>
        </is>
      </c>
      <c r="H7" s="10" t="inlineStr">
        <is>
          <t>High</t>
        </is>
      </c>
      <c r="I7" s="10" t="inlineStr">
        <is>
          <t>Confirm official counting method.</t>
        </is>
      </c>
      <c r="J7" s="10" t="inlineStr"/>
      <c r="K7" s="10" t="inlineStr"/>
      <c r="L7" s="10" t="inlineStr"/>
    </row>
    <row r="8">
      <c r="A8" s="10" t="inlineStr">
        <is>
          <t>J05</t>
        </is>
      </c>
      <c r="B8" s="10" t="inlineStr">
        <is>
          <t>Highlights</t>
        </is>
      </c>
      <c r="C8" s="10" t="inlineStr">
        <is>
          <t>5 highlights present.</t>
        </is>
      </c>
      <c r="D8" s="10" t="inlineStr">
        <is>
          <t>Confirm number and character limit.</t>
        </is>
      </c>
      <c r="E8" s="10" t="inlineStr">
        <is>
          <t>Live Guide for Authors</t>
        </is>
      </c>
      <c r="F8" s="10" t="inlineStr">
        <is>
          <t>Partial</t>
        </is>
      </c>
      <c r="G8" s="10" t="inlineStr">
        <is>
          <t>Needs verification</t>
        </is>
      </c>
      <c r="H8" s="10" t="inlineStr">
        <is>
          <t>Medium</t>
        </is>
      </c>
      <c r="I8" s="10" t="inlineStr">
        <is>
          <t>Check formatting and character count.</t>
        </is>
      </c>
      <c r="J8" s="10" t="inlineStr"/>
      <c r="K8" s="10" t="inlineStr"/>
      <c r="L8" s="10" t="inlineStr"/>
    </row>
    <row r="9">
      <c r="A9" s="10" t="inlineStr">
        <is>
          <t>J06</t>
        </is>
      </c>
      <c r="B9" s="10" t="inlineStr">
        <is>
          <t>Graphical abstract</t>
        </is>
      </c>
      <c r="C9" s="10" t="inlineStr">
        <is>
          <t>1 separate graphical abstract.</t>
        </is>
      </c>
      <c r="D9" s="10" t="inlineStr">
        <is>
          <t>Confirm size and upload category.</t>
        </is>
      </c>
      <c r="E9" s="10" t="inlineStr">
        <is>
          <t>Submission portal</t>
        </is>
      </c>
      <c r="F9" s="10" t="inlineStr">
        <is>
          <t>Partial</t>
        </is>
      </c>
      <c r="G9" s="10" t="inlineStr">
        <is>
          <t>Needs verification</t>
        </is>
      </c>
      <c r="H9" s="10" t="inlineStr">
        <is>
          <t>Medium</t>
        </is>
      </c>
      <c r="I9" s="10" t="inlineStr">
        <is>
          <t>Verify dimensions, font size and file type.</t>
        </is>
      </c>
      <c r="J9" s="10" t="inlineStr"/>
      <c r="K9" s="10" t="inlineStr"/>
      <c r="L9" s="10" t="inlineStr"/>
    </row>
    <row r="10">
      <c r="A10" s="10" t="inlineStr">
        <is>
          <t>J07</t>
        </is>
      </c>
      <c r="B10" s="10" t="inlineStr">
        <is>
          <t>Main visual count</t>
        </is>
      </c>
      <c r="C10" s="10" t="inlineStr">
        <is>
          <t>4 figures + 3 tables = 7 total.</t>
        </is>
      </c>
      <c r="D10" s="10" t="inlineStr">
        <is>
          <t>Conservative structure; verify current official limit.</t>
        </is>
      </c>
      <c r="E10" s="10" t="inlineStr">
        <is>
          <t>Live Guide for Authors</t>
        </is>
      </c>
      <c r="F10" s="10" t="inlineStr">
        <is>
          <t>Partial</t>
        </is>
      </c>
      <c r="G10" s="10" t="inlineStr">
        <is>
          <t>Needs verification</t>
        </is>
      </c>
      <c r="H10" s="10" t="inlineStr">
        <is>
          <t>High</t>
        </is>
      </c>
      <c r="I10" s="10" t="inlineStr">
        <is>
          <t>Do not rely on unverified AI Mode limits.</t>
        </is>
      </c>
      <c r="J10" s="10" t="inlineStr"/>
      <c r="K10" s="10" t="inlineStr"/>
      <c r="L10" s="10" t="inlineStr"/>
    </row>
    <row r="11">
      <c r="A11" s="10" t="inlineStr">
        <is>
          <t>J08</t>
        </is>
      </c>
      <c r="B11" s="10" t="inlineStr">
        <is>
          <t>Supplementary visual count</t>
        </is>
      </c>
      <c r="C11" s="10" t="inlineStr">
        <is>
          <t>2 figures + 5 tables = 7 items.</t>
        </is>
      </c>
      <c r="D11" s="10" t="inlineStr">
        <is>
          <t>No duplication; all support reproducibility.</t>
        </is>
      </c>
      <c r="E11" s="10" t="inlineStr">
        <is>
          <t>Editorial judgement</t>
        </is>
      </c>
      <c r="F11" s="10" t="inlineStr">
        <is>
          <t>Yes</t>
        </is>
      </c>
      <c r="G11" s="10" t="inlineStr">
        <is>
          <t>In progress</t>
        </is>
      </c>
      <c r="H11" s="10" t="inlineStr">
        <is>
          <t>Medium</t>
        </is>
      </c>
      <c r="I11" s="10" t="inlineStr">
        <is>
          <t>Complete missing fields and verify file format.</t>
        </is>
      </c>
      <c r="J11" s="10" t="inlineStr"/>
      <c r="K11" s="10" t="inlineStr"/>
      <c r="L11" s="10" t="inlineStr"/>
    </row>
    <row r="12">
      <c r="A12" s="10" t="inlineStr">
        <is>
          <t>J09</t>
        </is>
      </c>
      <c r="B12" s="10" t="inlineStr">
        <is>
          <t>Sequential citations</t>
        </is>
      </c>
      <c r="C12" s="10" t="inlineStr">
        <is>
          <t>Figures and tables cited sequentially in draft.</t>
        </is>
      </c>
      <c r="D12" s="10" t="inlineStr">
        <is>
          <t>Every item cited in order and captioned.</t>
        </is>
      </c>
      <c r="E12" s="10" t="inlineStr">
        <is>
          <t>Manuscript audit</t>
        </is>
      </c>
      <c r="F12" s="10" t="inlineStr">
        <is>
          <t>Partial</t>
        </is>
      </c>
      <c r="G12" s="10" t="inlineStr">
        <is>
          <t>Needs verification</t>
        </is>
      </c>
      <c r="H12" s="10" t="inlineStr">
        <is>
          <t>High</t>
        </is>
      </c>
      <c r="I12" s="10" t="inlineStr">
        <is>
          <t>Run final cross-reference audit after revisions.</t>
        </is>
      </c>
      <c r="J12" s="10" t="inlineStr"/>
      <c r="K12" s="10" t="inlineStr"/>
      <c r="L12" s="10" t="inlineStr"/>
    </row>
    <row r="13">
      <c r="A13" s="10" t="inlineStr">
        <is>
          <t>J10</t>
        </is>
      </c>
      <c r="B13" s="10" t="inlineStr">
        <is>
          <t>Figure captions</t>
        </is>
      </c>
      <c r="C13" s="10" t="inlineStr">
        <is>
          <t>Separate legends file available.</t>
        </is>
      </c>
      <c r="D13" s="10" t="inlineStr">
        <is>
          <t>Self-contained, concise, defines abbreviations and evidence status.</t>
        </is>
      </c>
      <c r="E13" s="10" t="inlineStr">
        <is>
          <t>Guide for Authors</t>
        </is>
      </c>
      <c r="F13" s="10" t="inlineStr">
        <is>
          <t>Partial</t>
        </is>
      </c>
      <c r="G13" s="10" t="inlineStr">
        <is>
          <t>Needs revision</t>
        </is>
      </c>
      <c r="H13" s="10" t="inlineStr">
        <is>
          <t>High</t>
        </is>
      </c>
      <c r="I13" s="10" t="inlineStr">
        <is>
          <t>Final caption audit after figure redesign.</t>
        </is>
      </c>
      <c r="J13" s="10" t="inlineStr"/>
      <c r="K13" s="10" t="inlineStr"/>
      <c r="L13" s="10" t="inlineStr"/>
    </row>
    <row r="14">
      <c r="A14" s="10" t="inlineStr">
        <is>
          <t>J11</t>
        </is>
      </c>
      <c r="B14" s="10" t="inlineStr">
        <is>
          <t>Figure file quality</t>
        </is>
      </c>
      <c r="C14" s="10" t="inlineStr">
        <is>
          <t>Editable SVG/PNG package exists.</t>
        </is>
      </c>
      <c r="D14" s="10" t="inlineStr">
        <is>
          <t>Check resolution, color mode and font embedding.</t>
        </is>
      </c>
      <c r="E14" s="10" t="inlineStr">
        <is>
          <t>Artwork guidelines</t>
        </is>
      </c>
      <c r="F14" s="10" t="inlineStr">
        <is>
          <t>Partial</t>
        </is>
      </c>
      <c r="G14" s="10" t="inlineStr">
        <is>
          <t>Needs verification</t>
        </is>
      </c>
      <c r="H14" s="10" t="inlineStr">
        <is>
          <t>High</t>
        </is>
      </c>
      <c r="I14" s="10" t="inlineStr">
        <is>
          <t>Export final TIFF/EPS/PDF as required.</t>
        </is>
      </c>
      <c r="J14" s="10" t="inlineStr"/>
      <c r="K14" s="10" t="inlineStr"/>
      <c r="L14" s="10" t="inlineStr"/>
    </row>
    <row r="15">
      <c r="A15" s="10" t="inlineStr">
        <is>
          <t>J12</t>
        </is>
      </c>
      <c r="B15" s="10" t="inlineStr">
        <is>
          <t>Table titles / footnotes</t>
        </is>
      </c>
      <c r="C15" s="10" t="inlineStr">
        <is>
          <t>Titles and grade keys present.</t>
        </is>
      </c>
      <c r="D15" s="10" t="inlineStr">
        <is>
          <t>Self-contained; abbreviations and “not reported” rules clear.</t>
        </is>
      </c>
      <c r="E15" s="10" t="inlineStr">
        <is>
          <t>Guide for Authors</t>
        </is>
      </c>
      <c r="F15" s="10" t="inlineStr">
        <is>
          <t>Partial</t>
        </is>
      </c>
      <c r="G15" s="10" t="inlineStr">
        <is>
          <t>Needs revision</t>
        </is>
      </c>
      <c r="H15" s="10" t="inlineStr">
        <is>
          <t>Medium</t>
        </is>
      </c>
      <c r="I15" s="10" t="inlineStr">
        <is>
          <t>Add footnotes and source boundary consistently.</t>
        </is>
      </c>
      <c r="J15" s="10" t="inlineStr"/>
      <c r="K15" s="10" t="inlineStr"/>
      <c r="L15" s="10" t="inlineStr"/>
    </row>
    <row r="16">
      <c r="A16" s="10" t="inlineStr">
        <is>
          <t>J13</t>
        </is>
      </c>
      <c r="B16" s="10" t="inlineStr">
        <is>
          <t>Review-method reproducibility</t>
        </is>
      </c>
      <c r="C16" s="10" t="inlineStr">
        <is>
          <t>Question-led method described; search records incomplete.</t>
        </is>
      </c>
      <c r="D16" s="10" t="inlineStr">
        <is>
          <t>Databases, strings, counts, exclusions, reviewer procedure.</t>
        </is>
      </c>
      <c r="E16" s="10" t="inlineStr">
        <is>
          <t>Supplement S1–S3</t>
        </is>
      </c>
      <c r="F16" s="10" t="inlineStr">
        <is>
          <t>No</t>
        </is>
      </c>
      <c r="G16" s="10" t="inlineStr">
        <is>
          <t>Not started</t>
        </is>
      </c>
      <c r="H16" s="10" t="inlineStr">
        <is>
          <t>Critical</t>
        </is>
      </c>
      <c r="I16" s="10" t="inlineStr">
        <is>
          <t>Complete before submission.</t>
        </is>
      </c>
      <c r="J16" s="10" t="inlineStr"/>
      <c r="K16" s="10" t="inlineStr"/>
      <c r="L16" s="10" t="inlineStr"/>
    </row>
    <row r="17">
      <c r="A17" s="10" t="inlineStr">
        <is>
          <t>J14</t>
        </is>
      </c>
      <c r="B17" s="10" t="inlineStr">
        <is>
          <t>Reference style</t>
        </is>
      </c>
      <c r="C17" s="10" t="inlineStr">
        <is>
          <t>127 numbered references in draft.</t>
        </is>
      </c>
      <c r="D17" s="10" t="inlineStr">
        <is>
          <t>Verify journal style, DOI format and completeness.</t>
        </is>
      </c>
      <c r="E17" s="10" t="inlineStr">
        <is>
          <t>Live Guide / reference manager</t>
        </is>
      </c>
      <c r="F17" s="10" t="inlineStr">
        <is>
          <t>Partial</t>
        </is>
      </c>
      <c r="G17" s="10" t="inlineStr">
        <is>
          <t>Needs verification</t>
        </is>
      </c>
      <c r="H17" s="10" t="inlineStr">
        <is>
          <t>High</t>
        </is>
      </c>
      <c r="I17" s="10" t="inlineStr">
        <is>
          <t>Complete Reference Audit.</t>
        </is>
      </c>
      <c r="J17" s="10" t="inlineStr"/>
      <c r="K17" s="10" t="inlineStr"/>
      <c r="L17" s="10" t="inlineStr"/>
    </row>
    <row r="18">
      <c r="A18" s="10" t="inlineStr">
        <is>
          <t>J15</t>
        </is>
      </c>
      <c r="B18" s="10" t="inlineStr">
        <is>
          <t>Permissions</t>
        </is>
      </c>
      <c r="C18" s="10" t="inlineStr">
        <is>
          <t>Figures are original; adapted concepts require careful attribution.</t>
        </is>
      </c>
      <c r="D18" s="10" t="inlineStr">
        <is>
          <t>Permissions for reused/adapted copyrighted material.</t>
        </is>
      </c>
      <c r="E18" s="10" t="inlineStr">
        <is>
          <t>Elsevier permissions policy</t>
        </is>
      </c>
      <c r="F18" s="10" t="inlineStr">
        <is>
          <t>Partial</t>
        </is>
      </c>
      <c r="G18" s="10" t="inlineStr">
        <is>
          <t>Needs verification</t>
        </is>
      </c>
      <c r="H18" s="10" t="inlineStr">
        <is>
          <t>High</t>
        </is>
      </c>
      <c r="I18" s="10" t="inlineStr">
        <is>
          <t>Document originality and permissions.</t>
        </is>
      </c>
      <c r="J18" s="10" t="inlineStr"/>
      <c r="K18" s="10" t="inlineStr"/>
      <c r="L18" s="10" t="inlineStr"/>
    </row>
    <row r="19">
      <c r="A19" s="10" t="inlineStr">
        <is>
          <t>J16</t>
        </is>
      </c>
      <c r="B19" s="10" t="inlineStr">
        <is>
          <t>Author details</t>
        </is>
      </c>
      <c r="C19" s="10" t="inlineStr">
        <is>
          <t>Placeholders remain.</t>
        </is>
      </c>
      <c r="D19" s="10" t="inlineStr">
        <is>
          <t>Final author names, affiliations, ORCID and correspondence.</t>
        </is>
      </c>
      <c r="E19" s="10" t="inlineStr">
        <is>
          <t>Author input</t>
        </is>
      </c>
      <c r="F19" s="10" t="inlineStr">
        <is>
          <t>No</t>
        </is>
      </c>
      <c r="G19" s="10" t="inlineStr">
        <is>
          <t>Not started</t>
        </is>
      </c>
      <c r="H19" s="10" t="inlineStr">
        <is>
          <t>Critical</t>
        </is>
      </c>
      <c r="I19" s="10" t="inlineStr">
        <is>
          <t>Complete and lock before submission.</t>
        </is>
      </c>
      <c r="J19" s="10" t="inlineStr"/>
      <c r="K19" s="10" t="inlineStr"/>
      <c r="L19" s="10" t="inlineStr"/>
    </row>
    <row r="20">
      <c r="A20" s="10" t="inlineStr">
        <is>
          <t>J17</t>
        </is>
      </c>
      <c r="B20" s="10" t="inlineStr">
        <is>
          <t>CRediT contributions</t>
        </is>
      </c>
      <c r="C20" s="10" t="inlineStr">
        <is>
          <t>Placeholder.</t>
        </is>
      </c>
      <c r="D20" s="10" t="inlineStr">
        <is>
          <t>Final contribution statement.</t>
        </is>
      </c>
      <c r="E20" s="10" t="inlineStr">
        <is>
          <t>Author input</t>
        </is>
      </c>
      <c r="F20" s="10" t="inlineStr">
        <is>
          <t>No</t>
        </is>
      </c>
      <c r="G20" s="10" t="inlineStr">
        <is>
          <t>Not started</t>
        </is>
      </c>
      <c r="H20" s="10" t="inlineStr">
        <is>
          <t>Critical</t>
        </is>
      </c>
      <c r="I20" s="10" t="inlineStr">
        <is>
          <t>Obtain author approval.</t>
        </is>
      </c>
      <c r="J20" s="10" t="inlineStr"/>
      <c r="K20" s="10" t="inlineStr"/>
      <c r="L20" s="10" t="inlineStr"/>
    </row>
    <row r="21">
      <c r="A21" s="10" t="inlineStr">
        <is>
          <t>J18</t>
        </is>
      </c>
      <c r="B21" s="10" t="inlineStr">
        <is>
          <t>Funding / acknowledgements</t>
        </is>
      </c>
      <c r="C21" s="10" t="inlineStr">
        <is>
          <t>Placeholders.</t>
        </is>
      </c>
      <c r="D21" s="10" t="inlineStr">
        <is>
          <t>Complete funding identifiers and acknowledgements.</t>
        </is>
      </c>
      <c r="E21" s="10" t="inlineStr">
        <is>
          <t>Author input</t>
        </is>
      </c>
      <c r="F21" s="10" t="inlineStr">
        <is>
          <t>No</t>
        </is>
      </c>
      <c r="G21" s="10" t="inlineStr">
        <is>
          <t>Not started</t>
        </is>
      </c>
      <c r="H21" s="10" t="inlineStr">
        <is>
          <t>Critical</t>
        </is>
      </c>
      <c r="I21" s="10" t="inlineStr">
        <is>
          <t>Complete.</t>
        </is>
      </c>
      <c r="J21" s="10" t="inlineStr"/>
      <c r="K21" s="10" t="inlineStr"/>
      <c r="L21" s="10" t="inlineStr"/>
    </row>
    <row r="22">
      <c r="A22" s="10" t="inlineStr">
        <is>
          <t>J19</t>
        </is>
      </c>
      <c r="B22" s="10" t="inlineStr">
        <is>
          <t>Competing interests</t>
        </is>
      </c>
      <c r="C22" s="10" t="inlineStr">
        <is>
          <t>Placeholder.</t>
        </is>
      </c>
      <c r="D22" s="10" t="inlineStr">
        <is>
          <t>Journal-required declaration.</t>
        </is>
      </c>
      <c r="E22" s="10" t="inlineStr">
        <is>
          <t>Author input</t>
        </is>
      </c>
      <c r="F22" s="10" t="inlineStr">
        <is>
          <t>No</t>
        </is>
      </c>
      <c r="G22" s="10" t="inlineStr">
        <is>
          <t>Not started</t>
        </is>
      </c>
      <c r="H22" s="10" t="inlineStr">
        <is>
          <t>Critical</t>
        </is>
      </c>
      <c r="I22" s="10" t="inlineStr">
        <is>
          <t>Complete.</t>
        </is>
      </c>
      <c r="J22" s="10" t="inlineStr"/>
      <c r="K22" s="10" t="inlineStr"/>
      <c r="L22" s="10" t="inlineStr"/>
    </row>
    <row r="23">
      <c r="A23" s="10" t="inlineStr">
        <is>
          <t>J20</t>
        </is>
      </c>
      <c r="B23" s="10" t="inlineStr">
        <is>
          <t>Data availability</t>
        </is>
      </c>
      <c r="C23" s="10" t="inlineStr">
        <is>
          <t>Statement present; repository links pending.</t>
        </is>
      </c>
      <c r="D23" s="10" t="inlineStr">
        <is>
          <t>Archive search records, grades and figure sources where permitted.</t>
        </is>
      </c>
      <c r="E23" s="10" t="inlineStr">
        <is>
          <t>Journal policy</t>
        </is>
      </c>
      <c r="F23" s="10" t="inlineStr">
        <is>
          <t>Partial</t>
        </is>
      </c>
      <c r="G23" s="10" t="inlineStr">
        <is>
          <t>Needs verification</t>
        </is>
      </c>
      <c r="H23" s="10" t="inlineStr">
        <is>
          <t>High</t>
        </is>
      </c>
      <c r="I23" s="10" t="inlineStr">
        <is>
          <t>Create repository package and persistent links.</t>
        </is>
      </c>
      <c r="J23" s="10" t="inlineStr"/>
      <c r="K23" s="10" t="inlineStr"/>
      <c r="L23" s="10" t="inlineStr"/>
    </row>
    <row r="24">
      <c r="A24" s="10" t="inlineStr">
        <is>
          <t>J21</t>
        </is>
      </c>
      <c r="B24" s="10" t="inlineStr">
        <is>
          <t>Generative AI declaration</t>
        </is>
      </c>
      <c r="C24" s="10" t="inlineStr">
        <is>
          <t>Section present.</t>
        </is>
      </c>
      <c r="D24" s="10" t="inlineStr">
        <is>
          <t>Align exact wording with current publisher policy.</t>
        </is>
      </c>
      <c r="E24" s="10" t="inlineStr">
        <is>
          <t>Live publisher policy</t>
        </is>
      </c>
      <c r="F24" s="10" t="inlineStr">
        <is>
          <t>Partial</t>
        </is>
      </c>
      <c r="G24" s="10" t="inlineStr">
        <is>
          <t>Needs verification</t>
        </is>
      </c>
      <c r="H24" s="10" t="inlineStr">
        <is>
          <t>High</t>
        </is>
      </c>
      <c r="I24" s="10" t="inlineStr">
        <is>
          <t>Verify current policy and disclose actual use.</t>
        </is>
      </c>
      <c r="J24" s="10" t="inlineStr"/>
      <c r="K24" s="10" t="inlineStr"/>
      <c r="L24" s="10" t="inlineStr"/>
    </row>
    <row r="25">
      <c r="A25" s="10" t="inlineStr">
        <is>
          <t>J22</t>
        </is>
      </c>
      <c r="B25" s="10" t="inlineStr">
        <is>
          <t>Language / readability</t>
        </is>
      </c>
      <c r="C25" s="10" t="inlineStr">
        <is>
          <t>Active, concise style applied; detailed sentence audit included.</t>
        </is>
      </c>
      <c r="D25" s="10" t="inlineStr">
        <is>
          <t>Final professional proofread.</t>
        </is>
      </c>
      <c r="E25" s="10" t="inlineStr">
        <is>
          <t>Writing audit</t>
        </is>
      </c>
      <c r="F25" s="10" t="inlineStr">
        <is>
          <t>Partial</t>
        </is>
      </c>
      <c r="G25" s="10" t="inlineStr">
        <is>
          <t>In progress</t>
        </is>
      </c>
      <c r="H25" s="10" t="inlineStr">
        <is>
          <t>Medium</t>
        </is>
      </c>
      <c r="I25" s="10" t="inlineStr">
        <is>
          <t>Resolve long sentences and consistency.</t>
        </is>
      </c>
      <c r="J25" s="10" t="inlineStr"/>
      <c r="K25" s="10" t="inlineStr"/>
      <c r="L25" s="10" t="inlineStr"/>
    </row>
  </sheetData>
  <mergeCells count="2">
    <mergeCell ref="A2:L2"/>
    <mergeCell ref="A1:L1"/>
  </mergeCells>
  <conditionalFormatting sqref="G4:G25">
    <cfRule type="expression" priority="1" dxfId="0">
      <formula>$G4="Complete"</formula>
    </cfRule>
    <cfRule type="expression" priority="2" dxfId="1">
      <formula>$G4="In progress"</formula>
    </cfRule>
    <cfRule type="expression" priority="3" dxfId="2">
      <formula>$G4="Needs verification"</formula>
    </cfRule>
    <cfRule type="expression" priority="4" dxfId="3">
      <formula>$G4="Needs revision"</formula>
    </cfRule>
    <cfRule type="expression" priority="5" dxfId="4">
      <formula>$G4="Not started"</formula>
    </cfRule>
    <cfRule type="expression" priority="6" dxfId="5">
      <formula>$G4="Not applicable"</formula>
    </cfRule>
  </conditionalFormatting>
  <conditionalFormatting sqref="H4:H25">
    <cfRule type="expression" priority="7" dxfId="4">
      <formula>$H4="Critical"</formula>
    </cfRule>
    <cfRule type="expression" priority="8" dxfId="3">
      <formula>$H4="High"</formula>
    </cfRule>
    <cfRule type="expression" priority="9" dxfId="2">
      <formula>$H4="Medium"</formula>
    </cfRule>
    <cfRule type="expression" priority="10" dxfId="0">
      <formula>$H4="Low"</formula>
    </cfRule>
  </conditionalFormatting>
  <dataValidations count="3">
    <dataValidation sqref="F4:F25" showDropDown="0" showInputMessage="0" showErrorMessage="0" allowBlank="1" type="list">
      <formula1>=Lists!$G$2:$G$5</formula1>
    </dataValidation>
    <dataValidation sqref="G4:G25" showDropDown="0" showInputMessage="0" showErrorMessage="0" allowBlank="1" type="list">
      <formula1>=Lists!$A$2:$A$7</formula1>
    </dataValidation>
    <dataValidation sqref="H4:H25" showDropDown="0" showInputMessage="0" showErrorMessage="0" allowBlank="1" type="list">
      <formula1>=Lists!$C$2:$C$5</formula1>
    </dataValidation>
  </dataValidations>
  <pageMargins left="0.25" right="0.25" top="0.4" bottom="0.4" header="0.5" footer="0.5"/>
  <pageSetup orientation="landscape" fitToHeight="0" fitToWidth="1"/>
  <legacyDrawing xmlns:r="http://schemas.openxmlformats.org/officeDocument/2006/relationships" r:id="anysvml"/>
  <tableParts count="1">
    <tablePart xmlns:r="http://schemas.openxmlformats.org/officeDocument/2006/relationships" r:id="rId1"/>
  </tableParts>
</worksheet>
</file>

<file path=xl/worksheets/sheet15.xml><?xml version="1.0" encoding="utf-8"?>
<worksheet xmlns="http://schemas.openxmlformats.org/spreadsheetml/2006/main">
  <sheetPr>
    <tabColor rgb="00A64D79"/>
    <outlinePr summaryBelow="1" summaryRight="1"/>
    <pageSetUpPr fitToPage="1"/>
  </sheetPr>
  <dimension ref="A1:L357"/>
  <sheetViews>
    <sheetView showGridLines="0" zoomScale="70" workbookViewId="0">
      <pane ySplit="3" topLeftCell="A4" activePane="bottomLeft" state="frozen"/>
      <selection pane="bottomLeft" activeCell="A1" sqref="A1"/>
    </sheetView>
  </sheetViews>
  <sheetFormatPr baseColWidth="8" defaultRowHeight="15"/>
  <cols>
    <col width="42" customWidth="1" min="1" max="1"/>
    <col width="12" customWidth="1" min="2" max="2"/>
    <col width="11" customWidth="1" min="3" max="3"/>
    <col width="110" customWidth="1" min="4" max="4"/>
    <col width="12" customWidth="1" min="5" max="5"/>
    <col width="13" customWidth="1" min="6" max="6"/>
    <col width="17" customWidth="1" min="7" max="7"/>
    <col width="18" customWidth="1" min="8" max="8"/>
    <col width="34" customWidth="1" min="9" max="9"/>
    <col width="34" customWidth="1" min="10" max="10"/>
    <col width="18" customWidth="1" min="11" max="11"/>
    <col width="40" customWidth="1" min="12" max="12"/>
  </cols>
  <sheetData>
    <row r="1" ht="30" customHeight="1">
      <c r="A1" s="1" t="inlineStr">
        <is>
          <t>Sentence-Level Scientific Writing Audit</t>
        </is>
      </c>
    </row>
    <row r="2" ht="28" customHeight="1">
      <c r="A2" s="2" t="inlineStr">
        <is>
          <t>Heuristic audit for sentence length, passive constructions, nominalizations and clutter. Human review remains essential.</t>
        </is>
      </c>
    </row>
    <row r="3">
      <c r="A3" s="9" t="inlineStr">
        <is>
          <t>Section</t>
        </is>
      </c>
      <c r="B3" s="9" t="inlineStr">
        <is>
          <t>Paragraph #</t>
        </is>
      </c>
      <c r="C3" s="9" t="inlineStr">
        <is>
          <t>Sentence #</t>
        </is>
      </c>
      <c r="D3" s="9" t="inlineStr">
        <is>
          <t>Sentence</t>
        </is>
      </c>
      <c r="E3" s="9" t="inlineStr">
        <is>
          <t>Word count</t>
        </is>
      </c>
      <c r="F3" s="9" t="inlineStr">
        <is>
          <t>&gt;25 words?</t>
        </is>
      </c>
      <c r="G3" s="9" t="inlineStr">
        <is>
          <t>Passive heuristic?</t>
        </is>
      </c>
      <c r="H3" s="9" t="inlineStr">
        <is>
          <t>Nominalization count</t>
        </is>
      </c>
      <c r="I3" s="9" t="inlineStr">
        <is>
          <t>Clutter phrase(s)</t>
        </is>
      </c>
      <c r="J3" s="9" t="inlineStr">
        <is>
          <t>Recommended action</t>
        </is>
      </c>
      <c r="K3" s="9" t="inlineStr">
        <is>
          <t>Reviewer status</t>
        </is>
      </c>
      <c r="L3" s="9" t="inlineStr">
        <is>
          <t>Reviewer note</t>
        </is>
      </c>
    </row>
    <row r="4">
      <c r="A4" s="10" t="inlineStr">
        <is>
          <t>Subtitle</t>
        </is>
      </c>
      <c r="B4" s="10" t="n">
        <v>3</v>
      </c>
      <c r="C4" s="10" t="n">
        <v>1</v>
      </c>
      <c r="D4" s="10" t="inlineStr">
        <is>
          <t>Author One¹* · Author Two² · Author Three¹</t>
        </is>
      </c>
      <c r="E4" s="10" t="n">
        <v>6</v>
      </c>
      <c r="F4" s="10" t="inlineStr">
        <is>
          <t>No</t>
        </is>
      </c>
      <c r="G4" s="10" t="inlineStr">
        <is>
          <t>No</t>
        </is>
      </c>
      <c r="H4" s="10" t="n">
        <v>0</v>
      </c>
      <c r="I4" s="10" t="inlineStr"/>
      <c r="J4" s="10" t="inlineStr"/>
      <c r="K4" s="10" t="inlineStr">
        <is>
          <t>Not reviewed</t>
        </is>
      </c>
      <c r="L4" s="10" t="inlineStr"/>
    </row>
    <row r="5">
      <c r="A5" s="10" t="inlineStr">
        <is>
          <t>Subtitle</t>
        </is>
      </c>
      <c r="B5" s="10" t="n">
        <v>4</v>
      </c>
      <c r="C5" s="10" t="n">
        <v>1</v>
      </c>
      <c r="D5" s="10" t="inlineStr">
        <is>
          <t>¹ Affiliation to be completed ² Affiliation to be completed * Corresponding author email to be completed</t>
        </is>
      </c>
      <c r="E5" s="10" t="n">
        <v>16</v>
      </c>
      <c r="F5" s="10" t="inlineStr">
        <is>
          <t>No</t>
        </is>
      </c>
      <c r="G5" s="10" t="inlineStr">
        <is>
          <t>Yes</t>
        </is>
      </c>
      <c r="H5" s="10" t="n">
        <v>2</v>
      </c>
      <c r="I5" s="10" t="inlineStr"/>
      <c r="J5" s="10" t="inlineStr">
        <is>
          <t>Consider active voice</t>
        </is>
      </c>
      <c r="K5" s="10" t="inlineStr">
        <is>
          <t>Not reviewed</t>
        </is>
      </c>
      <c r="L5" s="10" t="inlineStr"/>
    </row>
    <row r="6">
      <c r="A6" s="10" t="inlineStr">
        <is>
          <t>Highlights</t>
        </is>
      </c>
      <c r="B6" s="10" t="n">
        <v>6</v>
      </c>
      <c r="C6" s="10" t="n">
        <v>1</v>
      </c>
      <c r="D6" s="10" t="inlineStr">
        <is>
          <t>One acoustic frequency can encode several physically different food processes.</t>
        </is>
      </c>
      <c r="E6" s="10" t="n">
        <v>10</v>
      </c>
      <c r="F6" s="10" t="inlineStr">
        <is>
          <t>No</t>
        </is>
      </c>
      <c r="G6" s="10" t="inlineStr">
        <is>
          <t>No</t>
        </is>
      </c>
      <c r="H6" s="10" t="n">
        <v>1</v>
      </c>
      <c r="I6" s="10" t="inlineStr"/>
      <c r="J6" s="10" t="inlineStr"/>
      <c r="K6" s="10" t="inlineStr">
        <is>
          <t>Not reviewed</t>
        </is>
      </c>
      <c r="L6" s="10" t="inlineStr"/>
    </row>
    <row r="7">
      <c r="A7" s="10" t="inlineStr">
        <is>
          <t>Highlights</t>
        </is>
      </c>
      <c r="B7" s="10" t="n">
        <v>7</v>
      </c>
      <c r="C7" s="10" t="n">
        <v>1</v>
      </c>
      <c r="D7" s="10" t="inlineStr">
        <is>
          <t>Source settings do not define the exposure received by intact fruit.</t>
        </is>
      </c>
      <c r="E7" s="10" t="n">
        <v>11</v>
      </c>
      <c r="F7" s="10" t="inlineStr">
        <is>
          <t>No</t>
        </is>
      </c>
      <c r="G7" s="10" t="inlineStr">
        <is>
          <t>No</t>
        </is>
      </c>
      <c r="H7" s="10" t="n">
        <v>0</v>
      </c>
      <c r="I7" s="10" t="inlineStr"/>
      <c r="J7" s="10" t="inlineStr"/>
      <c r="K7" s="10" t="inlineStr">
        <is>
          <t>Not reviewed</t>
        </is>
      </c>
      <c r="L7" s="10" t="inlineStr"/>
    </row>
    <row r="8">
      <c r="A8" s="10" t="inlineStr">
        <is>
          <t>Highlights</t>
        </is>
      </c>
      <c r="B8" s="10" t="n">
        <v>8</v>
      </c>
      <c r="C8" s="10" t="n">
        <v>1</v>
      </c>
      <c r="D8" s="10" t="inlineStr">
        <is>
          <t>None of seven retained airborne-fruit studies measured fruit motion or isolated support transfer.</t>
        </is>
      </c>
      <c r="E8" s="10" t="n">
        <v>13</v>
      </c>
      <c r="F8" s="10" t="inlineStr">
        <is>
          <t>No</t>
        </is>
      </c>
      <c r="G8" s="10" t="inlineStr">
        <is>
          <t>No</t>
        </is>
      </c>
      <c r="H8" s="10" t="n">
        <v>1</v>
      </c>
      <c r="I8" s="10" t="inlineStr"/>
      <c r="J8" s="10" t="inlineStr"/>
      <c r="K8" s="10" t="inlineStr">
        <is>
          <t>Not reviewed</t>
        </is>
      </c>
      <c r="L8" s="10" t="inlineStr"/>
    </row>
    <row r="9">
      <c r="A9" s="10" t="inlineStr">
        <is>
          <t>Highlights</t>
        </is>
      </c>
      <c r="B9" s="10" t="n">
        <v>9</v>
      </c>
      <c r="C9" s="10" t="n">
        <v>1</v>
      </c>
      <c r="D9" s="10" t="inlineStr">
        <is>
          <t>Receiver-centred metrology converts apparent contradictions into falsifiable tests.</t>
        </is>
      </c>
      <c r="E9" s="10" t="n">
        <v>8</v>
      </c>
      <c r="F9" s="10" t="inlineStr">
        <is>
          <t>No</t>
        </is>
      </c>
      <c r="G9" s="10" t="inlineStr">
        <is>
          <t>No</t>
        </is>
      </c>
      <c r="H9" s="10" t="n">
        <v>0</v>
      </c>
      <c r="I9" s="10" t="inlineStr"/>
      <c r="J9" s="10" t="inlineStr"/>
      <c r="K9" s="10" t="inlineStr">
        <is>
          <t>Not reviewed</t>
        </is>
      </c>
      <c r="L9" s="10" t="inlineStr"/>
    </row>
    <row r="10">
      <c r="A10" s="10" t="inlineStr">
        <is>
          <t>Highlights</t>
        </is>
      </c>
      <c r="B10" s="10" t="n">
        <v>10</v>
      </c>
      <c r="C10" s="10" t="n">
        <v>1</v>
      </c>
      <c r="D10" s="10" t="inlineStr">
        <is>
          <t>Matched-exposure transfer links chamber physics to shelf-relevant quality trajectories.</t>
        </is>
      </c>
      <c r="E10" s="10" t="n">
        <v>9</v>
      </c>
      <c r="F10" s="10" t="inlineStr">
        <is>
          <t>No</t>
        </is>
      </c>
      <c r="G10" s="10" t="inlineStr">
        <is>
          <t>No</t>
        </is>
      </c>
      <c r="H10" s="10" t="n">
        <v>0</v>
      </c>
      <c r="I10" s="10" t="inlineStr"/>
      <c r="J10" s="10" t="inlineStr"/>
      <c r="K10" s="10" t="inlineStr">
        <is>
          <t>Not reviewed</t>
        </is>
      </c>
      <c r="L10" s="10" t="inlineStr"/>
    </row>
    <row r="11">
      <c r="A11" s="10" t="inlineStr">
        <is>
          <t>Abstract</t>
        </is>
      </c>
      <c r="B11" s="10" t="n">
        <v>12</v>
      </c>
      <c r="C11" s="10" t="n">
        <v>1</v>
      </c>
      <c r="D11" s="10" t="inlineStr">
        <is>
          <t>Acoustic technologies are increasingly applied to intact fruit for non-destructive sensing, quality modulation, drying, cleaning and related processing, yet studies often define treatment by nominal frequency, sound-pressure level, generator power and exposure time.</t>
        </is>
      </c>
      <c r="E11" s="10" t="n">
        <v>33</v>
      </c>
      <c r="F11" s="10" t="inlineStr">
        <is>
          <t>Yes</t>
        </is>
      </c>
      <c r="G11" s="10" t="inlineStr">
        <is>
          <t>Yes</t>
        </is>
      </c>
      <c r="H11" s="10" t="n">
        <v>3</v>
      </c>
      <c r="I11" s="10" t="inlineStr"/>
      <c r="J11" s="10" t="inlineStr">
        <is>
          <t>Split or simplify; Consider active voice; Replace noun-heavy phrasing</t>
        </is>
      </c>
      <c r="K11" s="10" t="inlineStr">
        <is>
          <t>Not reviewed</t>
        </is>
      </c>
      <c r="L11" s="10" t="inlineStr"/>
    </row>
    <row r="12">
      <c r="A12" s="10" t="inlineStr">
        <is>
          <t>Abstract</t>
        </is>
      </c>
      <c r="B12" s="10" t="n">
        <v>12</v>
      </c>
      <c r="C12" s="10" t="n">
        <v>2</v>
      </c>
      <c r="D12" s="10" t="inlineStr">
        <is>
          <t>These variables describe the source but not the route-specific exposure delivered to a heterogeneous, evolving fruit.</t>
        </is>
      </c>
      <c r="E12" s="10" t="n">
        <v>16</v>
      </c>
      <c r="F12" s="10" t="inlineStr">
        <is>
          <t>No</t>
        </is>
      </c>
      <c r="G12" s="10" t="inlineStr">
        <is>
          <t>No</t>
        </is>
      </c>
      <c r="H12" s="10" t="n">
        <v>0</v>
      </c>
      <c r="I12" s="10" t="inlineStr"/>
      <c r="J12" s="10" t="inlineStr"/>
      <c r="K12" s="10" t="inlineStr">
        <is>
          <t>Not reviewed</t>
        </is>
      </c>
      <c r="L12" s="10" t="inlineStr"/>
    </row>
    <row r="13">
      <c r="A13" s="10" t="inlineStr">
        <is>
          <t>Abstract</t>
        </is>
      </c>
      <c r="B13" s="10" t="n">
        <v>12</v>
      </c>
      <c r="C13" s="10" t="n">
        <v>3</v>
      </c>
      <c r="D13" s="10" t="inlineStr">
        <is>
          <t>This critical review compares five physical acoustic technology families and evaluates evidence across a source–loaded-field–interface–receiver–biology–shelf chain.</t>
        </is>
      </c>
      <c r="E13" s="10" t="n">
        <v>21</v>
      </c>
      <c r="F13" s="10" t="inlineStr">
        <is>
          <t>No</t>
        </is>
      </c>
      <c r="G13" s="10" t="inlineStr">
        <is>
          <t>No</t>
        </is>
      </c>
      <c r="H13" s="10" t="n">
        <v>3</v>
      </c>
      <c r="I13" s="10" t="inlineStr"/>
      <c r="J13" s="10" t="inlineStr">
        <is>
          <t>Replace noun-heavy phrasing</t>
        </is>
      </c>
      <c r="K13" s="10" t="inlineStr">
        <is>
          <t>Not reviewed</t>
        </is>
      </c>
      <c r="L13" s="10" t="inlineStr"/>
    </row>
    <row r="14">
      <c r="A14" s="10" t="inlineStr">
        <is>
          <t>Abstract</t>
        </is>
      </c>
      <c r="B14" s="10" t="n">
        <v>12</v>
      </c>
      <c r="C14" s="10" t="n">
        <v>4</v>
      </c>
      <c r="D14" s="10" t="inlineStr">
        <is>
          <t>The analysis shows that identical frequency bands can produce fundamentally different mechanisms, including tool-induced strain, support vibration, gas-boundary-layer forcing and liquid cavitation.</t>
        </is>
      </c>
      <c r="E14" s="10" t="n">
        <v>22</v>
      </c>
      <c r="F14" s="10" t="inlineStr">
        <is>
          <t>No</t>
        </is>
      </c>
      <c r="G14" s="10" t="inlineStr">
        <is>
          <t>No</t>
        </is>
      </c>
      <c r="H14" s="10" t="n">
        <v>3</v>
      </c>
      <c r="I14" s="10" t="inlineStr"/>
      <c r="J14" s="10" t="inlineStr">
        <is>
          <t>Replace noun-heavy phrasing</t>
        </is>
      </c>
      <c r="K14" s="10" t="inlineStr">
        <is>
          <t>Not reviewed</t>
        </is>
      </c>
      <c r="L14" s="10" t="inlineStr"/>
    </row>
    <row r="15">
      <c r="A15" s="10" t="inlineStr">
        <is>
          <t>Abstract</t>
        </is>
      </c>
      <c r="B15" s="10" t="n">
        <v>12</v>
      </c>
      <c r="C15" s="10" t="n">
        <v>5</v>
      </c>
      <c r="D15" s="10" t="inlineStr">
        <is>
          <t>Among seven primary airborne-fruit studies retained under the stated protocol, none measured fruit motion, isolated support-mediated transfer or externally validated the physical exposure–quality relationship.</t>
        </is>
      </c>
      <c r="E15" s="10" t="n">
        <v>25</v>
      </c>
      <c r="F15" s="10" t="inlineStr">
        <is>
          <t>No</t>
        </is>
      </c>
      <c r="G15" s="10" t="inlineStr">
        <is>
          <t>No</t>
        </is>
      </c>
      <c r="H15" s="10" t="n">
        <v>2</v>
      </c>
      <c r="I15" s="10" t="inlineStr"/>
      <c r="J15" s="10" t="inlineStr"/>
      <c r="K15" s="10" t="inlineStr">
        <is>
          <t>Not reviewed</t>
        </is>
      </c>
      <c r="L15" s="10" t="inlineStr"/>
    </row>
    <row r="16">
      <c r="A16" s="10" t="inlineStr">
        <is>
          <t>Abstract</t>
        </is>
      </c>
      <c r="B16" s="10" t="n">
        <v>12</v>
      </c>
      <c r="C16" s="10" t="n">
        <v>6</v>
      </c>
      <c r="D16" s="10" t="inlineStr">
        <is>
          <t>Repeated phenotypic, transcriptomic, epigenetic and metabolomic associations therefore justify decisive experiments but do not establish resonance, tissue strain or mechanotransduction as the causal route.</t>
        </is>
      </c>
      <c r="E16" s="10" t="n">
        <v>24</v>
      </c>
      <c r="F16" s="10" t="inlineStr">
        <is>
          <t>No</t>
        </is>
      </c>
      <c r="G16" s="10" t="inlineStr">
        <is>
          <t>No</t>
        </is>
      </c>
      <c r="H16" s="10" t="n">
        <v>3</v>
      </c>
      <c r="I16" s="10" t="inlineStr"/>
      <c r="J16" s="10" t="inlineStr">
        <is>
          <t>Replace noun-heavy phrasing</t>
        </is>
      </c>
      <c r="K16" s="10" t="inlineStr">
        <is>
          <t>Not reviewed</t>
        </is>
      </c>
      <c r="L16" s="10" t="inlineStr"/>
    </row>
    <row r="17">
      <c r="A17" s="10" t="inlineStr">
        <is>
          <t>Abstract</t>
        </is>
      </c>
      <c r="B17" s="10" t="n">
        <v>12</v>
      </c>
      <c r="C17" s="10" t="n">
        <v>7</v>
      </c>
      <c r="D17" s="10" t="inlineStr">
        <is>
          <t>In contrast, acoustic sensing and liquid-ultrasound research show greater maturity where excitation, transfer and receiver response are observable.</t>
        </is>
      </c>
      <c r="E17" s="10" t="n">
        <v>18</v>
      </c>
      <c r="F17" s="10" t="inlineStr">
        <is>
          <t>No</t>
        </is>
      </c>
      <c r="G17" s="10" t="inlineStr">
        <is>
          <t>No</t>
        </is>
      </c>
      <c r="H17" s="10" t="n">
        <v>1</v>
      </c>
      <c r="I17" s="10" t="inlineStr"/>
      <c r="J17" s="10" t="inlineStr"/>
      <c r="K17" s="10" t="inlineStr">
        <is>
          <t>Not reviewed</t>
        </is>
      </c>
      <c r="L17" s="10" t="inlineStr"/>
    </row>
    <row r="18">
      <c r="A18" s="10" t="inlineStr">
        <is>
          <t>Abstract</t>
        </is>
      </c>
      <c r="B18" s="10" t="n">
        <v>12</v>
      </c>
      <c r="C18" s="10" t="n">
        <v>8</v>
      </c>
      <c r="D18" s="10" t="inlineStr">
        <is>
          <t>We address the metrology gap through a Receiver-Centred Exposure Passport, an Acoustic Operating Window, route-separating falsification tests, sentinel-fruit monitoring and receiver-equivalence validation across equipment and loads.</t>
        </is>
      </c>
      <c r="E18" s="10" t="n">
        <v>26</v>
      </c>
      <c r="F18" s="10" t="inlineStr">
        <is>
          <t>Yes</t>
        </is>
      </c>
      <c r="G18" s="10" t="inlineStr">
        <is>
          <t>No</t>
        </is>
      </c>
      <c r="H18" s="10" t="n">
        <v>4</v>
      </c>
      <c r="I18" s="10" t="inlineStr"/>
      <c r="J18" s="10" t="inlineStr">
        <is>
          <t>Split or simplify; Replace noun-heavy phrasing</t>
        </is>
      </c>
      <c r="K18" s="10" t="inlineStr">
        <is>
          <t>Not reviewed</t>
        </is>
      </c>
      <c r="L18" s="10" t="inlineStr"/>
    </row>
    <row r="19">
      <c r="A19" s="10" t="inlineStr">
        <is>
          <t>Abstract</t>
        </is>
      </c>
      <c r="B19" s="10" t="n">
        <v>12</v>
      </c>
      <c r="C19" s="10" t="n">
        <v>9</v>
      </c>
      <c r="D19" s="10" t="inlineStr">
        <is>
          <t>Future work should prioritize loaded-system mapping, state-dependent exposure–response boundaries, validated surface-to-tissue strain reconstruction and independent transfer under realistic storage conditions.</t>
        </is>
      </c>
      <c r="E19" s="10" t="n">
        <v>21</v>
      </c>
      <c r="F19" s="10" t="inlineStr">
        <is>
          <t>No</t>
        </is>
      </c>
      <c r="G19" s="10" t="inlineStr">
        <is>
          <t>No</t>
        </is>
      </c>
      <c r="H19" s="10" t="n">
        <v>1</v>
      </c>
      <c r="I19" s="10" t="inlineStr"/>
      <c r="J19" s="10" t="inlineStr"/>
      <c r="K19" s="10" t="inlineStr">
        <is>
          <t>Not reviewed</t>
        </is>
      </c>
      <c r="L19" s="10" t="inlineStr"/>
    </row>
    <row r="20">
      <c r="A20" s="10" t="inlineStr">
        <is>
          <t>Abstract</t>
        </is>
      </c>
      <c r="B20" s="10" t="n">
        <v>12</v>
      </c>
      <c r="C20" s="10" t="n">
        <v>10</v>
      </c>
      <c r="D20" s="10" t="inlineStr">
        <is>
          <t>Acoustic processing can move from empirical source recipes to shelf-relevant engineering only when researchers measure and control what the fruit actually receives.</t>
        </is>
      </c>
      <c r="E20" s="10" t="n">
        <v>22</v>
      </c>
      <c r="F20" s="10" t="inlineStr">
        <is>
          <t>No</t>
        </is>
      </c>
      <c r="G20" s="10" t="inlineStr">
        <is>
          <t>No</t>
        </is>
      </c>
      <c r="H20" s="10" t="n">
        <v>1</v>
      </c>
      <c r="I20" s="10" t="inlineStr"/>
      <c r="J20" s="10" t="inlineStr"/>
      <c r="K20" s="10" t="inlineStr">
        <is>
          <t>Not reviewed</t>
        </is>
      </c>
      <c r="L20" s="10" t="inlineStr"/>
    </row>
    <row r="21">
      <c r="A21" s="10" t="inlineStr">
        <is>
          <t>Abstract</t>
        </is>
      </c>
      <c r="B21" s="10" t="n">
        <v>13</v>
      </c>
      <c r="C21" s="10" t="n">
        <v>1</v>
      </c>
      <c r="D21" s="10" t="inlineStr">
        <is>
          <t>Keywords: acoustic processing; intact fruit; receiver exposure; acoustic sensing; power ultrasound; resonance; shelf life; process design</t>
        </is>
      </c>
      <c r="E21" s="10" t="n">
        <v>16</v>
      </c>
      <c r="F21" s="10" t="inlineStr">
        <is>
          <t>No</t>
        </is>
      </c>
      <c r="G21" s="10" t="inlineStr">
        <is>
          <t>No</t>
        </is>
      </c>
      <c r="H21" s="10" t="n">
        <v>1</v>
      </c>
      <c r="I21" s="10" t="inlineStr"/>
      <c r="J21" s="10" t="inlineStr"/>
      <c r="K21" s="10" t="inlineStr">
        <is>
          <t>Not reviewed</t>
        </is>
      </c>
      <c r="L21" s="10" t="inlineStr"/>
    </row>
    <row r="22">
      <c r="A22" s="10" t="inlineStr">
        <is>
          <t>1. Introduction: the missing link from sound to shelf</t>
        </is>
      </c>
      <c r="B22" s="10" t="n">
        <v>16</v>
      </c>
      <c r="C22" s="10" t="n">
        <v>1</v>
      </c>
      <c r="D22" s="10" t="inlineStr">
        <is>
          <t>Consider four food-processing systems operating at 25 kHz.</t>
        </is>
      </c>
      <c r="E22" s="10" t="n">
        <v>8</v>
      </c>
      <c r="F22" s="10" t="inlineStr">
        <is>
          <t>No</t>
        </is>
      </c>
      <c r="G22" s="10" t="inlineStr">
        <is>
          <t>No</t>
        </is>
      </c>
      <c r="H22" s="10" t="n">
        <v>0</v>
      </c>
      <c r="I22" s="10" t="inlineStr"/>
      <c r="J22" s="10" t="inlineStr"/>
      <c r="K22" s="10" t="inlineStr">
        <is>
          <t>Not reviewed</t>
        </is>
      </c>
      <c r="L22" s="10" t="inlineStr"/>
    </row>
    <row r="23">
      <c r="A23" s="10" t="inlineStr">
        <is>
          <t>1. Introduction: the missing link from sound to shelf</t>
        </is>
      </c>
      <c r="B23" s="10" t="n">
        <v>16</v>
      </c>
      <c r="C23" s="10" t="n">
        <v>2</v>
      </c>
      <c r="D23" s="10" t="inlineStr">
        <is>
          <t>A sonotrode transfers displacement directly into food; an ultrasonic bath generates cavitation, streaming and microjets; an airborne transducer perturbs a gas boundary layer; and a vibrating tray transfers structure-borne motion into the product.</t>
        </is>
      </c>
      <c r="E23" s="10" t="n">
        <v>33</v>
      </c>
      <c r="F23" s="10" t="inlineStr">
        <is>
          <t>Yes</t>
        </is>
      </c>
      <c r="G23" s="10" t="inlineStr">
        <is>
          <t>No</t>
        </is>
      </c>
      <c r="H23" s="10" t="n">
        <v>3</v>
      </c>
      <c r="I23" s="10" t="inlineStr"/>
      <c r="J23" s="10" t="inlineStr">
        <is>
          <t>Split or simplify; Replace noun-heavy phrasing</t>
        </is>
      </c>
      <c r="K23" s="10" t="inlineStr">
        <is>
          <t>Not reviewed</t>
        </is>
      </c>
      <c r="L23" s="10" t="inlineStr"/>
    </row>
    <row r="24">
      <c r="A24" s="10" t="inlineStr">
        <is>
          <t>1. Introduction: the missing link from sound to shelf</t>
        </is>
      </c>
      <c r="B24" s="10" t="n">
        <v>16</v>
      </c>
      <c r="C24" s="10" t="n">
        <v>3</v>
      </c>
      <c r="D24" s="10" t="inlineStr">
        <is>
          <t>The frequency is identical, but the energy path, receiver variable and proximal mechanism are not.</t>
        </is>
      </c>
      <c r="E24" s="10" t="n">
        <v>15</v>
      </c>
      <c r="F24" s="10" t="inlineStr">
        <is>
          <t>No</t>
        </is>
      </c>
      <c r="G24" s="10" t="inlineStr">
        <is>
          <t>No</t>
        </is>
      </c>
      <c r="H24" s="10" t="n">
        <v>2</v>
      </c>
      <c r="I24" s="10" t="inlineStr"/>
      <c r="J24" s="10" t="inlineStr"/>
      <c r="K24" s="10" t="inlineStr">
        <is>
          <t>Not reviewed</t>
        </is>
      </c>
      <c r="L24" s="10" t="inlineStr"/>
    </row>
    <row r="25">
      <c r="A25" s="10" t="inlineStr">
        <is>
          <t>1. Introduction: the missing link from sound to shelf</t>
        </is>
      </c>
      <c r="B25" s="10" t="n">
        <v>16</v>
      </c>
      <c r="C25" s="10" t="n">
        <v>4</v>
      </c>
      <c r="D25" s="10" t="inlineStr">
        <is>
          <t>Hertz identifies how rapidly the source oscillates; it does not define the treatment received by the food.</t>
        </is>
      </c>
      <c r="E25" s="10" t="n">
        <v>17</v>
      </c>
      <c r="F25" s="10" t="inlineStr">
        <is>
          <t>No</t>
        </is>
      </c>
      <c r="G25" s="10" t="inlineStr">
        <is>
          <t>No</t>
        </is>
      </c>
      <c r="H25" s="10" t="n">
        <v>1</v>
      </c>
      <c r="I25" s="10" t="inlineStr"/>
      <c r="J25" s="10" t="inlineStr"/>
      <c r="K25" s="10" t="inlineStr">
        <is>
          <t>Not reviewed</t>
        </is>
      </c>
      <c r="L25" s="10" t="inlineStr"/>
    </row>
    <row r="26">
      <c r="A26" s="10" t="inlineStr">
        <is>
          <t>1. Introduction: the missing link from sound to shelf</t>
        </is>
      </c>
      <c r="B26" s="10" t="n">
        <v>17</v>
      </c>
      <c r="C26" s="10" t="n">
        <v>1</v>
      </c>
      <c r="D26" s="10" t="inlineStr">
        <is>
          <t>This distinction matters acutely for intact fruit.</t>
        </is>
      </c>
      <c r="E26" s="10" t="n">
        <v>7</v>
      </c>
      <c r="F26" s="10" t="inlineStr">
        <is>
          <t>No</t>
        </is>
      </c>
      <c r="G26" s="10" t="inlineStr">
        <is>
          <t>No</t>
        </is>
      </c>
      <c r="H26" s="10" t="n">
        <v>1</v>
      </c>
      <c r="I26" s="10" t="inlineStr"/>
      <c r="J26" s="10" t="inlineStr"/>
      <c r="K26" s="10" t="inlineStr">
        <is>
          <t>Not reviewed</t>
        </is>
      </c>
      <c r="L26" s="10" t="inlineStr"/>
    </row>
    <row r="27">
      <c r="A27" s="10" t="inlineStr">
        <is>
          <t>1. Introduction: the missing link from sound to shelf</t>
        </is>
      </c>
      <c r="B27" s="10" t="n">
        <v>17</v>
      </c>
      <c r="C27" s="10" t="n">
        <v>2</v>
      </c>
      <c r="D27" s="10" t="inlineStr">
        <is>
          <t>Fruit is neither a homogeneous passive solid nor a fixed biological target.</t>
        </is>
      </c>
      <c r="E27" s="10" t="n">
        <v>12</v>
      </c>
      <c r="F27" s="10" t="inlineStr">
        <is>
          <t>No</t>
        </is>
      </c>
      <c r="G27" s="10" t="inlineStr">
        <is>
          <t>No</t>
        </is>
      </c>
      <c r="H27" s="10" t="n">
        <v>1</v>
      </c>
      <c r="I27" s="10" t="inlineStr"/>
      <c r="J27" s="10" t="inlineStr"/>
      <c r="K27" s="10" t="inlineStr">
        <is>
          <t>Not reviewed</t>
        </is>
      </c>
      <c r="L27" s="10" t="inlineStr"/>
    </row>
    <row r="28">
      <c r="A28" s="10" t="inlineStr">
        <is>
          <t>1. Introduction: the missing link from sound to shelf</t>
        </is>
      </c>
      <c r="B28" s="10" t="n">
        <v>17</v>
      </c>
      <c r="C28" s="10" t="n">
        <v>3</v>
      </c>
      <c r="D28" s="10" t="inlineStr">
        <is>
          <t>Geometry, peel and flesh structure, locules, seeds, turgor, temperature, support and maturity determine how an external field becomes motion, strain, heating or fluid transport.</t>
        </is>
      </c>
      <c r="E28" s="10" t="n">
        <v>24</v>
      </c>
      <c r="F28" s="10" t="inlineStr">
        <is>
          <t>No</t>
        </is>
      </c>
      <c r="G28" s="10" t="inlineStr">
        <is>
          <t>No</t>
        </is>
      </c>
      <c r="H28" s="10" t="n">
        <v>2</v>
      </c>
      <c r="I28" s="10" t="inlineStr"/>
      <c r="J28" s="10" t="inlineStr"/>
      <c r="K28" s="10" t="inlineStr">
        <is>
          <t>Not reviewed</t>
        </is>
      </c>
      <c r="L28" s="10" t="inlineStr"/>
    </row>
    <row r="29">
      <c r="A29" s="10" t="inlineStr">
        <is>
          <t>1. Introduction: the missing link from sound to shelf</t>
        </is>
      </c>
      <c r="B29" s="10" t="n">
        <v>17</v>
      </c>
      <c r="C29" s="10" t="n">
        <v>4</v>
      </c>
      <c r="D29" s="10" t="inlineStr">
        <is>
          <t>These properties change during storage.</t>
        </is>
      </c>
      <c r="E29" s="10" t="n">
        <v>5</v>
      </c>
      <c r="F29" s="10" t="inlineStr">
        <is>
          <t>No</t>
        </is>
      </c>
      <c r="G29" s="10" t="inlineStr">
        <is>
          <t>No</t>
        </is>
      </c>
      <c r="H29" s="10" t="n">
        <v>0</v>
      </c>
      <c r="I29" s="10" t="inlineStr"/>
      <c r="J29" s="10" t="inlineStr"/>
      <c r="K29" s="10" t="inlineStr">
        <is>
          <t>Not reviewed</t>
        </is>
      </c>
      <c r="L29" s="10" t="inlineStr"/>
    </row>
    <row r="30">
      <c r="A30" s="10" t="inlineStr">
        <is>
          <t>1. Introduction: the missing link from sound to shelf</t>
        </is>
      </c>
      <c r="B30" s="10" t="n">
        <v>17</v>
      </c>
      <c r="C30" s="10" t="n">
        <v>5</v>
      </c>
      <c r="D30" s="10" t="inlineStr">
        <is>
          <t>A fixed generator setting can therefore produce different exposures among fruit, chamber positions, batches and days, while different generators can produce similar receiver motion.</t>
        </is>
      </c>
      <c r="E30" s="10" t="n">
        <v>24</v>
      </c>
      <c r="F30" s="10" t="inlineStr">
        <is>
          <t>No</t>
        </is>
      </c>
      <c r="G30" s="10" t="inlineStr">
        <is>
          <t>No</t>
        </is>
      </c>
      <c r="H30" s="10" t="n">
        <v>1</v>
      </c>
      <c r="I30" s="10" t="inlineStr"/>
      <c r="J30" s="10" t="inlineStr"/>
      <c r="K30" s="10" t="inlineStr">
        <is>
          <t>Not reviewed</t>
        </is>
      </c>
      <c r="L30" s="10" t="inlineStr"/>
    </row>
    <row r="31">
      <c r="A31" s="10" t="inlineStr">
        <is>
          <t>1. Introduction: the missing link from sound to shelf</t>
        </is>
      </c>
      <c r="B31" s="10" t="n">
        <v>18</v>
      </c>
      <c r="C31" s="10" t="n">
        <v>1</v>
      </c>
      <c r="D31" s="10" t="inlineStr">
        <is>
          <t>The literature contains the components of a stronger engineering framework, but they remain separated.</t>
        </is>
      </c>
      <c r="E31" s="10" t="n">
        <v>14</v>
      </c>
      <c r="F31" s="10" t="inlineStr">
        <is>
          <t>No</t>
        </is>
      </c>
      <c r="G31" s="10" t="inlineStr">
        <is>
          <t>No</t>
        </is>
      </c>
      <c r="H31" s="10" t="n">
        <v>0</v>
      </c>
      <c r="I31" s="10" t="inlineStr"/>
      <c r="J31" s="10" t="inlineStr"/>
      <c r="K31" s="10" t="inlineStr">
        <is>
          <t>Not reviewed</t>
        </is>
      </c>
      <c r="L31" s="10" t="inlineStr"/>
    </row>
    <row r="32">
      <c r="A32" s="10" t="inlineStr">
        <is>
          <t>1. Introduction: the missing link from sound to shelf</t>
        </is>
      </c>
      <c r="B32" s="10" t="n">
        <v>18</v>
      </c>
      <c r="C32" s="10" t="n">
        <v>2</v>
      </c>
      <c r="D32" s="10" t="inlineStr">
        <is>
          <t>Modal and impulse-response studies show that fruit frequency response and damping can track firmness or maturity [14–25,75–84].</t>
        </is>
      </c>
      <c r="E32" s="10" t="n">
        <v>20</v>
      </c>
      <c r="F32" s="10" t="inlineStr">
        <is>
          <t>No</t>
        </is>
      </c>
      <c r="G32" s="10" t="inlineStr">
        <is>
          <t>No</t>
        </is>
      </c>
      <c r="H32" s="10" t="n">
        <v>1</v>
      </c>
      <c r="I32" s="10" t="inlineStr"/>
      <c r="J32" s="10" t="inlineStr"/>
      <c r="K32" s="10" t="inlineStr">
        <is>
          <t>Not reviewed</t>
        </is>
      </c>
      <c r="L32" s="10" t="inlineStr"/>
    </row>
    <row r="33">
      <c r="A33" s="10" t="inlineStr">
        <is>
          <t>1. Introduction: the missing link from sound to shelf</t>
        </is>
      </c>
      <c r="B33" s="10" t="n">
        <v>18</v>
      </c>
      <c r="C33" s="10" t="n">
        <v>3</v>
      </c>
      <c r="D33" s="10" t="inlineStr">
        <is>
          <t>A connected sequence of tomato studies reports associations between airborne sound exposure and phenotype, gases, transcripts, histone modification and metabolites [26–30].</t>
        </is>
      </c>
      <c r="E33" s="10" t="n">
        <v>22</v>
      </c>
      <c r="F33" s="10" t="inlineStr">
        <is>
          <t>No</t>
        </is>
      </c>
      <c r="G33" s="10" t="inlineStr">
        <is>
          <t>No</t>
        </is>
      </c>
      <c r="H33" s="10" t="n">
        <v>2</v>
      </c>
      <c r="I33" s="10" t="inlineStr"/>
      <c r="J33" s="10" t="inlineStr"/>
      <c r="K33" s="10" t="inlineStr">
        <is>
          <t>Not reviewed</t>
        </is>
      </c>
      <c r="L33" s="10" t="inlineStr"/>
    </row>
    <row r="34">
      <c r="A34" s="10" t="inlineStr">
        <is>
          <t>1. Introduction: the missing link from sound to shelf</t>
        </is>
      </c>
      <c r="B34" s="10" t="n">
        <v>18</v>
      </c>
      <c r="C34" s="10" t="n">
        <v>4</v>
      </c>
      <c r="D34" s="10" t="inlineStr">
        <is>
          <t>Power-ultrasound research shows that load geometry, dissolved gas, temperature and spatial field structure alter process performance [1–13,39–74].</t>
        </is>
      </c>
      <c r="E34" s="10" t="n">
        <v>20</v>
      </c>
      <c r="F34" s="10" t="inlineStr">
        <is>
          <t>No</t>
        </is>
      </c>
      <c r="G34" s="10" t="inlineStr">
        <is>
          <t>No</t>
        </is>
      </c>
      <c r="H34" s="10" t="n">
        <v>2</v>
      </c>
      <c r="I34" s="10" t="inlineStr"/>
      <c r="J34" s="10" t="inlineStr"/>
      <c r="K34" s="10" t="inlineStr">
        <is>
          <t>Not reviewed</t>
        </is>
      </c>
      <c r="L34" s="10" t="inlineStr"/>
    </row>
    <row r="35">
      <c r="A35" s="10" t="inlineStr">
        <is>
          <t>1. Introduction: the missing link from sound to shelf</t>
        </is>
      </c>
      <c r="B35" s="10" t="n">
        <v>18</v>
      </c>
      <c r="C35" s="10" t="n">
        <v>5</v>
      </c>
      <c r="D35" s="10" t="inlineStr">
        <is>
          <t>These findings establish promise, not a common process definition.</t>
        </is>
      </c>
      <c r="E35" s="10" t="n">
        <v>9</v>
      </c>
      <c r="F35" s="10" t="inlineStr">
        <is>
          <t>No</t>
        </is>
      </c>
      <c r="G35" s="10" t="inlineStr">
        <is>
          <t>No</t>
        </is>
      </c>
      <c r="H35" s="10" t="n">
        <v>1</v>
      </c>
      <c r="I35" s="10" t="inlineStr"/>
      <c r="J35" s="10" t="inlineStr"/>
      <c r="K35" s="10" t="inlineStr">
        <is>
          <t>Not reviewed</t>
        </is>
      </c>
      <c r="L35" s="10" t="inlineStr"/>
    </row>
    <row r="36">
      <c r="A36" s="10" t="inlineStr">
        <is>
          <t>1. Introduction: the missing link from sound to shelf</t>
        </is>
      </c>
      <c r="B36" s="10" t="n">
        <v>19</v>
      </c>
      <c r="C36" s="10" t="n">
        <v>1</v>
      </c>
      <c r="D36" s="10" t="inlineStr">
        <is>
          <t>The unresolved problem is metrological.</t>
        </is>
      </c>
      <c r="E36" s="10" t="n">
        <v>5</v>
      </c>
      <c r="F36" s="10" t="inlineStr">
        <is>
          <t>No</t>
        </is>
      </c>
      <c r="G36" s="10" t="inlineStr">
        <is>
          <t>No</t>
        </is>
      </c>
      <c r="H36" s="10" t="n">
        <v>1</v>
      </c>
      <c r="I36" s="10" t="inlineStr"/>
      <c r="J36" s="10" t="inlineStr"/>
      <c r="K36" s="10" t="inlineStr">
        <is>
          <t>Not reviewed</t>
        </is>
      </c>
      <c r="L36" s="10" t="inlineStr"/>
    </row>
    <row r="37">
      <c r="A37" s="10" t="inlineStr">
        <is>
          <t>1. Introduction: the missing link from sound to shelf</t>
        </is>
      </c>
      <c r="B37" s="10" t="n">
        <v>19</v>
      </c>
      <c r="C37" s="10" t="n">
        <v>2</v>
      </c>
      <c r="D37" s="10" t="inlineStr">
        <is>
          <t>Airborne-fruit studies commonly report source frequency, nominal sound-pressure level and treatment time, then measure downstream biology or quality.</t>
        </is>
      </c>
      <c r="E37" s="10" t="n">
        <v>18</v>
      </c>
      <c r="F37" s="10" t="inlineStr">
        <is>
          <t>No</t>
        </is>
      </c>
      <c r="G37" s="10" t="inlineStr">
        <is>
          <t>No</t>
        </is>
      </c>
      <c r="H37" s="10" t="n">
        <v>2</v>
      </c>
      <c r="I37" s="10" t="inlineStr"/>
      <c r="J37" s="10" t="inlineStr"/>
      <c r="K37" s="10" t="inlineStr">
        <is>
          <t>Not reviewed</t>
        </is>
      </c>
      <c r="L37" s="10" t="inlineStr"/>
    </row>
    <row r="38">
      <c r="A38" s="10" t="inlineStr">
        <is>
          <t>1. Introduction: the missing link from sound to shelf</t>
        </is>
      </c>
      <c r="B38" s="10" t="n">
        <v>19</v>
      </c>
      <c r="C38" s="10" t="n">
        <v>3</v>
      </c>
      <c r="D38" s="10" t="inlineStr">
        <is>
          <t>They rarely measure the receiver or isolate the transfer route.</t>
        </is>
      </c>
      <c r="E38" s="10" t="n">
        <v>10</v>
      </c>
      <c r="F38" s="10" t="inlineStr">
        <is>
          <t>No</t>
        </is>
      </c>
      <c r="G38" s="10" t="inlineStr">
        <is>
          <t>No</t>
        </is>
      </c>
      <c r="H38" s="10" t="n">
        <v>0</v>
      </c>
      <c r="I38" s="10" t="inlineStr"/>
      <c r="J38" s="10" t="inlineStr"/>
      <c r="K38" s="10" t="inlineStr">
        <is>
          <t>Not reviewed</t>
        </is>
      </c>
      <c r="L38" s="10" t="inlineStr"/>
    </row>
    <row r="39">
      <c r="A39" s="10" t="inlineStr">
        <is>
          <t>1. Introduction: the missing link from sound to shelf</t>
        </is>
      </c>
      <c r="B39" s="10" t="n">
        <v>19</v>
      </c>
      <c r="C39" s="10" t="n">
        <v>4</v>
      </c>
      <c r="D39" s="10" t="inlineStr">
        <is>
          <t>Among the seven primary studies retained in this review, none measured fruit motion, none isolated support-mediated transfer and none externally validated the physical exposure–quality relation.</t>
        </is>
      </c>
      <c r="E39" s="10" t="n">
        <v>26</v>
      </c>
      <c r="F39" s="10" t="inlineStr">
        <is>
          <t>Yes</t>
        </is>
      </c>
      <c r="G39" s="10" t="inlineStr">
        <is>
          <t>No</t>
        </is>
      </c>
      <c r="H39" s="10" t="n">
        <v>3</v>
      </c>
      <c r="I39" s="10" t="inlineStr"/>
      <c r="J39" s="10" t="inlineStr">
        <is>
          <t>Split or simplify; Replace noun-heavy phrasing</t>
        </is>
      </c>
      <c r="K39" s="10" t="inlineStr">
        <is>
          <t>Not reviewed</t>
        </is>
      </c>
      <c r="L39" s="10" t="inlineStr"/>
    </row>
    <row r="40">
      <c r="A40" s="10" t="inlineStr">
        <is>
          <t>1. Introduction: the missing link from sound to shelf</t>
        </is>
      </c>
      <c r="B40" s="10" t="n">
        <v>19</v>
      </c>
      <c r="C40" s="10" t="n">
        <v>5</v>
      </c>
      <c r="D40" s="10" t="inlineStr">
        <is>
          <t>A biological association can be real while its physical cause remains unresolved.</t>
        </is>
      </c>
      <c r="E40" s="10" t="n">
        <v>12</v>
      </c>
      <c r="F40" s="10" t="inlineStr">
        <is>
          <t>No</t>
        </is>
      </c>
      <c r="G40" s="10" t="inlineStr">
        <is>
          <t>No</t>
        </is>
      </c>
      <c r="H40" s="10" t="n">
        <v>3</v>
      </c>
      <c r="I40" s="10" t="inlineStr"/>
      <c r="J40" s="10" t="inlineStr">
        <is>
          <t>Replace noun-heavy phrasing</t>
        </is>
      </c>
      <c r="K40" s="10" t="inlineStr">
        <is>
          <t>Not reviewed</t>
        </is>
      </c>
      <c r="L40" s="10" t="inlineStr"/>
    </row>
    <row r="41">
      <c r="A41" s="10" t="inlineStr">
        <is>
          <t>1. Introduction: the missing link from sound to shelf</t>
        </is>
      </c>
      <c r="B41" s="10" t="n">
        <v>20</v>
      </c>
      <c r="C41" s="10" t="n">
        <v>1</v>
      </c>
      <c r="D41" s="10" t="inlineStr">
        <is>
          <t>This review takes a defensible position: a transferable acoustic process must be defined by the exposure received by the food, not by repeated source settings.</t>
        </is>
      </c>
      <c r="E41" s="10" t="n">
        <v>25</v>
      </c>
      <c r="F41" s="10" t="inlineStr">
        <is>
          <t>No</t>
        </is>
      </c>
      <c r="G41" s="10" t="inlineStr">
        <is>
          <t>Yes</t>
        </is>
      </c>
      <c r="H41" s="10" t="n">
        <v>1</v>
      </c>
      <c r="I41" s="10" t="inlineStr"/>
      <c r="J41" s="10" t="inlineStr">
        <is>
          <t>Consider active voice</t>
        </is>
      </c>
      <c r="K41" s="10" t="inlineStr">
        <is>
          <t>Not reviewed</t>
        </is>
      </c>
      <c r="L41" s="10" t="inlineStr"/>
    </row>
    <row r="42">
      <c r="A42" s="10" t="inlineStr">
        <is>
          <t>1. Introduction: the missing link from sound to shelf</t>
        </is>
      </c>
      <c r="B42" s="10" t="n">
        <v>20</v>
      </c>
      <c r="C42" s="10" t="n">
        <v>2</v>
      </c>
      <c r="D42" s="10" t="inlineStr">
        <is>
          <t>For a mechanically driven response, receiver motion or a validated strain proxy should predict longitudinal quality more consistently than nominal frequency, loudspeaker level or generator power.</t>
        </is>
      </c>
      <c r="E42" s="10" t="n">
        <v>26</v>
      </c>
      <c r="F42" s="10" t="inlineStr">
        <is>
          <t>Yes</t>
        </is>
      </c>
      <c r="G42" s="10" t="inlineStr">
        <is>
          <t>No</t>
        </is>
      </c>
      <c r="H42" s="10" t="n">
        <v>3</v>
      </c>
      <c r="I42" s="10" t="inlineStr"/>
      <c r="J42" s="10" t="inlineStr">
        <is>
          <t>Split or simplify; Replace noun-heavy phrasing</t>
        </is>
      </c>
      <c r="K42" s="10" t="inlineStr">
        <is>
          <t>Not reviewed</t>
        </is>
      </c>
      <c r="L42" s="10" t="inlineStr"/>
    </row>
    <row r="43">
      <c r="A43" s="10" t="inlineStr">
        <is>
          <t>1. Introduction: the missing link from sound to shelf</t>
        </is>
      </c>
      <c r="B43" s="10" t="n">
        <v>20</v>
      </c>
      <c r="C43" s="10" t="n">
        <v>3</v>
      </c>
      <c r="D43" s="10" t="inlineStr">
        <is>
          <t>If exposure matching does not improve prediction or transfer, the receiver-centred hypothesis is incomplete.</t>
        </is>
      </c>
      <c r="E43" s="10" t="n">
        <v>14</v>
      </c>
      <c r="F43" s="10" t="inlineStr">
        <is>
          <t>No</t>
        </is>
      </c>
      <c r="G43" s="10" t="inlineStr">
        <is>
          <t>No</t>
        </is>
      </c>
      <c r="H43" s="10" t="n">
        <v>1</v>
      </c>
      <c r="I43" s="10" t="inlineStr"/>
      <c r="J43" s="10" t="inlineStr"/>
      <c r="K43" s="10" t="inlineStr">
        <is>
          <t>Not reviewed</t>
        </is>
      </c>
      <c r="L43" s="10" t="inlineStr"/>
    </row>
    <row r="44">
      <c r="A44" s="10" t="inlineStr">
        <is>
          <t>1. Introduction: the missing link from sound to shelf</t>
        </is>
      </c>
      <c r="B44" s="10" t="n">
        <v>21</v>
      </c>
      <c r="C44" s="10" t="n">
        <v>1</v>
      </c>
      <c r="D44" s="10" t="inlineStr">
        <is>
          <t>The review makes three refutable contributions:</t>
        </is>
      </c>
      <c r="E44" s="10" t="n">
        <v>6</v>
      </c>
      <c r="F44" s="10" t="inlineStr">
        <is>
          <t>No</t>
        </is>
      </c>
      <c r="G44" s="10" t="inlineStr">
        <is>
          <t>No</t>
        </is>
      </c>
      <c r="H44" s="10" t="n">
        <v>0</v>
      </c>
      <c r="I44" s="10" t="inlineStr"/>
      <c r="J44" s="10" t="inlineStr"/>
      <c r="K44" s="10" t="inlineStr">
        <is>
          <t>Not reviewed</t>
        </is>
      </c>
      <c r="L44" s="10" t="inlineStr"/>
    </row>
    <row r="45">
      <c r="A45" s="10" t="inlineStr">
        <is>
          <t>1. Introduction: the missing link from sound to shelf</t>
        </is>
      </c>
      <c r="B45" s="10" t="n">
        <v>22</v>
      </c>
      <c r="C45" s="10" t="n">
        <v>1</v>
      </c>
      <c r="D45" s="10" t="inlineStr">
        <is>
          <t>Physical reclassification.</t>
        </is>
      </c>
      <c r="E45" s="10" t="n">
        <v>2</v>
      </c>
      <c r="F45" s="10" t="inlineStr">
        <is>
          <t>No</t>
        </is>
      </c>
      <c r="G45" s="10" t="inlineStr">
        <is>
          <t>No</t>
        </is>
      </c>
      <c r="H45" s="10" t="n">
        <v>2</v>
      </c>
      <c r="I45" s="10" t="inlineStr"/>
      <c r="J45" s="10" t="inlineStr"/>
      <c r="K45" s="10" t="inlineStr">
        <is>
          <t>Not reviewed</t>
        </is>
      </c>
      <c r="L45" s="10" t="inlineStr"/>
    </row>
    <row r="46">
      <c r="A46" s="10" t="inlineStr">
        <is>
          <t>1. Introduction: the missing link from sound to shelf</t>
        </is>
      </c>
      <c r="B46" s="10" t="n">
        <v>22</v>
      </c>
      <c r="C46" s="10" t="n">
        <v>2</v>
      </c>
      <c r="D46" s="10" t="inlineStr">
        <is>
          <t>We show that frequency cannot define process identity because overlapping bands contain different coupling paths, mechanisms and receiver variables (Figure 1; Table 1).</t>
        </is>
      </c>
      <c r="E46" s="10" t="n">
        <v>23</v>
      </c>
      <c r="F46" s="10" t="inlineStr">
        <is>
          <t>No</t>
        </is>
      </c>
      <c r="G46" s="10" t="inlineStr">
        <is>
          <t>No</t>
        </is>
      </c>
      <c r="H46" s="10" t="n">
        <v>1</v>
      </c>
      <c r="I46" s="10" t="inlineStr"/>
      <c r="J46" s="10" t="inlineStr"/>
      <c r="K46" s="10" t="inlineStr">
        <is>
          <t>Not reviewed</t>
        </is>
      </c>
      <c r="L46" s="10" t="inlineStr"/>
    </row>
    <row r="47">
      <c r="A47" s="10" t="inlineStr">
        <is>
          <t>1. Introduction: the missing link from sound to shelf</t>
        </is>
      </c>
      <c r="B47" s="10" t="n">
        <v>23</v>
      </c>
      <c r="C47" s="10" t="n">
        <v>1</v>
      </c>
      <c r="D47" s="10" t="inlineStr">
        <is>
          <t>Evidence-chain diagnosis.</t>
        </is>
      </c>
      <c r="E47" s="10" t="n">
        <v>2</v>
      </c>
      <c r="F47" s="10" t="inlineStr">
        <is>
          <t>No</t>
        </is>
      </c>
      <c r="G47" s="10" t="inlineStr">
        <is>
          <t>No</t>
        </is>
      </c>
      <c r="H47" s="10" t="n">
        <v>1</v>
      </c>
      <c r="I47" s="10" t="inlineStr"/>
      <c r="J47" s="10" t="inlineStr"/>
      <c r="K47" s="10" t="inlineStr">
        <is>
          <t>Not reviewed</t>
        </is>
      </c>
      <c r="L47" s="10" t="inlineStr"/>
    </row>
    <row r="48">
      <c r="A48" s="10" t="inlineStr">
        <is>
          <t>1. Introduction: the missing link from sound to shelf</t>
        </is>
      </c>
      <c r="B48" s="10" t="n">
        <v>23</v>
      </c>
      <c r="C48" s="10" t="n">
        <v>2</v>
      </c>
      <c r="D48" s="10" t="inlineStr">
        <is>
          <t>We compare seven primary airborne-fruit studies and identify fruit motion, support isolation and external validation as the principal missing links (Table 2; Figure 3).</t>
        </is>
      </c>
      <c r="E48" s="10" t="n">
        <v>24</v>
      </c>
      <c r="F48" s="10" t="inlineStr">
        <is>
          <t>No</t>
        </is>
      </c>
      <c r="G48" s="10" t="inlineStr">
        <is>
          <t>No</t>
        </is>
      </c>
      <c r="H48" s="10" t="n">
        <v>5</v>
      </c>
      <c r="I48" s="10" t="inlineStr"/>
      <c r="J48" s="10" t="inlineStr">
        <is>
          <t>Replace noun-heavy phrasing</t>
        </is>
      </c>
      <c r="K48" s="10" t="inlineStr">
        <is>
          <t>Not reviewed</t>
        </is>
      </c>
      <c r="L48" s="10" t="inlineStr"/>
    </row>
    <row r="49">
      <c r="A49" s="10" t="inlineStr">
        <is>
          <t>1. Introduction: the missing link from sound to shelf</t>
        </is>
      </c>
      <c r="B49" s="10" t="n">
        <v>24</v>
      </c>
      <c r="C49" s="10" t="n">
        <v>1</v>
      </c>
      <c r="D49" s="10" t="inlineStr">
        <is>
          <t>Transferable process design.</t>
        </is>
      </c>
      <c r="E49" s="10" t="n">
        <v>3</v>
      </c>
      <c r="F49" s="10" t="inlineStr">
        <is>
          <t>No</t>
        </is>
      </c>
      <c r="G49" s="10" t="inlineStr">
        <is>
          <t>No</t>
        </is>
      </c>
      <c r="H49" s="10" t="n">
        <v>0</v>
      </c>
      <c r="I49" s="10" t="inlineStr"/>
      <c r="J49" s="10" t="inlineStr"/>
      <c r="K49" s="10" t="inlineStr">
        <is>
          <t>Not reviewed</t>
        </is>
      </c>
      <c r="L49" s="10" t="inlineStr"/>
    </row>
    <row r="50">
      <c r="A50" s="10" t="inlineStr">
        <is>
          <t>1. Introduction: the missing link from sound to shelf</t>
        </is>
      </c>
      <c r="B50" s="10" t="n">
        <v>24</v>
      </c>
      <c r="C50" s="10" t="n">
        <v>2</v>
      </c>
      <c r="D50" s="10" t="inlineStr">
        <is>
          <t>We propose a Receiver-Centred Exposure Passport, an Acoustic Operating Window and matched-exposure tests that can support or reject receiver equivalence across fruit states, loads and equipment (Figure 4; Table 3).</t>
        </is>
      </c>
      <c r="E50" s="10" t="n">
        <v>30</v>
      </c>
      <c r="F50" s="10" t="inlineStr">
        <is>
          <t>Yes</t>
        </is>
      </c>
      <c r="G50" s="10" t="inlineStr">
        <is>
          <t>No</t>
        </is>
      </c>
      <c r="H50" s="10" t="n">
        <v>2</v>
      </c>
      <c r="I50" s="10" t="inlineStr"/>
      <c r="J50" s="10" t="inlineStr">
        <is>
          <t>Split or simplify</t>
        </is>
      </c>
      <c r="K50" s="10" t="inlineStr">
        <is>
          <t>Not reviewed</t>
        </is>
      </c>
      <c r="L50" s="10" t="inlineStr"/>
    </row>
    <row r="51">
      <c r="A51" s="10" t="inlineStr">
        <is>
          <t>2. Review scope and critical evidence method</t>
        </is>
      </c>
      <c r="B51" s="10" t="n">
        <v>26</v>
      </c>
      <c r="C51" s="10" t="n">
        <v>1</v>
      </c>
      <c r="D51" s="10" t="inlineStr">
        <is>
          <t>This article is a question-led critical review rather than a statistical meta-analysis or bibliometric survey.</t>
        </is>
      </c>
      <c r="E51" s="10" t="n">
        <v>15</v>
      </c>
      <c r="F51" s="10" t="inlineStr">
        <is>
          <t>No</t>
        </is>
      </c>
      <c r="G51" s="10" t="inlineStr">
        <is>
          <t>No</t>
        </is>
      </c>
      <c r="H51" s="10" t="n">
        <v>3</v>
      </c>
      <c r="I51" s="10" t="inlineStr"/>
      <c r="J51" s="10" t="inlineStr">
        <is>
          <t>Replace noun-heavy phrasing</t>
        </is>
      </c>
      <c r="K51" s="10" t="inlineStr">
        <is>
          <t>Not reviewed</t>
        </is>
      </c>
      <c r="L51" s="10" t="inlineStr"/>
    </row>
    <row r="52">
      <c r="A52" s="10" t="inlineStr">
        <is>
          <t>2. Review scope and critical evidence method</t>
        </is>
      </c>
      <c r="B52" s="10" t="n">
        <v>26</v>
      </c>
      <c r="C52" s="10" t="n">
        <v>2</v>
      </c>
      <c r="D52" s="10" t="inlineStr">
        <is>
          <t>Searches were updated through 14 September 2026 using Crossref metadata, publisher search services and backward citation tracing from major reviews.</t>
        </is>
      </c>
      <c r="E52" s="10" t="n">
        <v>20</v>
      </c>
      <c r="F52" s="10" t="inlineStr">
        <is>
          <t>No</t>
        </is>
      </c>
      <c r="G52" s="10" t="inlineStr">
        <is>
          <t>Yes</t>
        </is>
      </c>
      <c r="H52" s="10" t="n">
        <v>1</v>
      </c>
      <c r="I52" s="10" t="inlineStr"/>
      <c r="J52" s="10" t="inlineStr">
        <is>
          <t>Consider active voice</t>
        </is>
      </c>
      <c r="K52" s="10" t="inlineStr">
        <is>
          <t>Not reviewed</t>
        </is>
      </c>
      <c r="L52" s="10" t="inlineStr"/>
    </row>
    <row r="53">
      <c r="A53" s="10" t="inlineStr">
        <is>
          <t>2. Review scope and critical evidence method</t>
        </is>
      </c>
      <c r="B53" s="10" t="n">
        <v>26</v>
      </c>
      <c r="C53" s="10" t="n">
        <v>3</v>
      </c>
      <c r="D53" s="10" t="inlineStr">
        <is>
          <t>Query families combined fruit or named commodities with acoustic, sound, vibration, resonance, ultrasound, cavitation, firmness, ripening, quality, mechanotransduction, calcium, reactive oxygen, ethylene, sensing, state estimation, control and digital twin.</t>
        </is>
      </c>
      <c r="E53" s="10" t="n">
        <v>29</v>
      </c>
      <c r="F53" s="10" t="inlineStr">
        <is>
          <t>Yes</t>
        </is>
      </c>
      <c r="G53" s="10" t="inlineStr">
        <is>
          <t>No</t>
        </is>
      </c>
      <c r="H53" s="10" t="n">
        <v>6</v>
      </c>
      <c r="I53" s="10" t="inlineStr"/>
      <c r="J53" s="10" t="inlineStr">
        <is>
          <t>Split or simplify; Replace noun-heavy phrasing</t>
        </is>
      </c>
      <c r="K53" s="10" t="inlineStr">
        <is>
          <t>Not reviewed</t>
        </is>
      </c>
      <c r="L53" s="10" t="inlineStr"/>
    </row>
    <row r="54">
      <c r="A54" s="10" t="inlineStr">
        <is>
          <t>2. Review scope and critical evidence method</t>
        </is>
      </c>
      <c r="B54" s="10" t="n">
        <v>27</v>
      </c>
      <c r="C54" s="10" t="n">
        <v>1</v>
      </c>
      <c r="D54" s="10" t="inlineStr">
        <is>
          <t>We retained records when they informed at least one link in the source–loaded-field–interface–receiver–response–quality chain.</t>
        </is>
      </c>
      <c r="E54" s="10" t="n">
        <v>19</v>
      </c>
      <c r="F54" s="10" t="inlineStr">
        <is>
          <t>No</t>
        </is>
      </c>
      <c r="G54" s="10" t="inlineStr">
        <is>
          <t>No</t>
        </is>
      </c>
      <c r="H54" s="10" t="n">
        <v>0</v>
      </c>
      <c r="I54" s="10" t="inlineStr"/>
      <c r="J54" s="10" t="inlineStr"/>
      <c r="K54" s="10" t="inlineStr">
        <is>
          <t>Not reviewed</t>
        </is>
      </c>
      <c r="L54" s="10" t="inlineStr"/>
    </row>
    <row r="55">
      <c r="A55" s="10" t="inlineStr">
        <is>
          <t>2. Review scope and critical evidence method</t>
        </is>
      </c>
      <c r="B55" s="10" t="n">
        <v>27</v>
      </c>
      <c r="C55" s="10" t="n">
        <v>2</v>
      </c>
      <c r="D55" s="10" t="inlineStr">
        <is>
          <t>We used plant studies only when they supplied direct physical or mechanistic evidence unavailable in intact fruit.</t>
        </is>
      </c>
      <c r="E55" s="10" t="n">
        <v>17</v>
      </c>
      <c r="F55" s="10" t="inlineStr">
        <is>
          <t>No</t>
        </is>
      </c>
      <c r="G55" s="10" t="inlineStr">
        <is>
          <t>No</t>
        </is>
      </c>
      <c r="H55" s="10" t="n">
        <v>2</v>
      </c>
      <c r="I55" s="10" t="inlineStr"/>
      <c r="J55" s="10" t="inlineStr"/>
      <c r="K55" s="10" t="inlineStr">
        <is>
          <t>Not reviewed</t>
        </is>
      </c>
      <c r="L55" s="10" t="inlineStr"/>
    </row>
    <row r="56">
      <c r="A56" s="10" t="inlineStr">
        <is>
          <t>2. Review scope and critical evidence method</t>
        </is>
      </c>
      <c r="B56" s="10" t="n">
        <v>27</v>
      </c>
      <c r="C56" s="10" t="n">
        <v>3</v>
      </c>
      <c r="D56" s="10" t="inlineStr">
        <is>
          <t>Acoustic sensing, transport vibration, contact ultrasonics and liquid power ultrasound serve as mechanistically distinct comparator literatures; they do not validate airborne treatment by analogy.</t>
        </is>
      </c>
      <c r="E56" s="10" t="n">
        <v>24</v>
      </c>
      <c r="F56" s="10" t="inlineStr">
        <is>
          <t>No</t>
        </is>
      </c>
      <c r="G56" s="10" t="inlineStr">
        <is>
          <t>No</t>
        </is>
      </c>
      <c r="H56" s="10" t="n">
        <v>2</v>
      </c>
      <c r="I56" s="10" t="inlineStr"/>
      <c r="J56" s="10" t="inlineStr"/>
      <c r="K56" s="10" t="inlineStr">
        <is>
          <t>Not reviewed</t>
        </is>
      </c>
      <c r="L56" s="10" t="inlineStr"/>
    </row>
    <row r="57">
      <c r="A57" s="10" t="inlineStr">
        <is>
          <t>2. Review scope and critical evidence method</t>
        </is>
      </c>
      <c r="B57" s="10" t="n">
        <v>28</v>
      </c>
      <c r="C57" s="10" t="n">
        <v>1</v>
      </c>
      <c r="D57" s="10" t="inlineStr">
        <is>
          <t>Evidence grades describe the specific link under review, not whether a reported endpoint reached statistical significance.</t>
        </is>
      </c>
      <c r="E57" s="10" t="n">
        <v>16</v>
      </c>
      <c r="F57" s="10" t="inlineStr">
        <is>
          <t>No</t>
        </is>
      </c>
      <c r="G57" s="10" t="inlineStr">
        <is>
          <t>No</t>
        </is>
      </c>
      <c r="H57" s="10" t="n">
        <v>3</v>
      </c>
      <c r="I57" s="10" t="inlineStr"/>
      <c r="J57" s="10" t="inlineStr">
        <is>
          <t>Replace noun-heavy phrasing</t>
        </is>
      </c>
      <c r="K57" s="10" t="inlineStr">
        <is>
          <t>Not reviewed</t>
        </is>
      </c>
      <c r="L57" s="10" t="inlineStr"/>
    </row>
    <row r="58">
      <c r="A58" s="10" t="inlineStr">
        <is>
          <t>2. Review scope and critical evidence method</t>
        </is>
      </c>
      <c r="B58" s="10" t="n">
        <v>28</v>
      </c>
      <c r="C58" s="10" t="n">
        <v>2</v>
      </c>
      <c r="D58" s="10" t="inlineStr">
        <is>
          <t>Grade A denotes direct measurement of the relevant link or externally validated prediction.</t>
        </is>
      </c>
      <c r="E58" s="10" t="n">
        <v>13</v>
      </c>
      <c r="F58" s="10" t="inlineStr">
        <is>
          <t>No</t>
        </is>
      </c>
      <c r="G58" s="10" t="inlineStr">
        <is>
          <t>No</t>
        </is>
      </c>
      <c r="H58" s="10" t="n">
        <v>2</v>
      </c>
      <c r="I58" s="10" t="inlineStr"/>
      <c r="J58" s="10" t="inlineStr"/>
      <c r="K58" s="10" t="inlineStr">
        <is>
          <t>Not reviewed</t>
        </is>
      </c>
      <c r="L58" s="10" t="inlineStr"/>
    </row>
    <row r="59">
      <c r="A59" s="10" t="inlineStr">
        <is>
          <t>2. Review scope and critical evidence method</t>
        </is>
      </c>
      <c r="B59" s="10" t="n">
        <v>28</v>
      </c>
      <c r="C59" s="10" t="n">
        <v>3</v>
      </c>
      <c r="D59" s="10" t="inlineStr">
        <is>
          <t>Grade B denotes controlled evidence in a bounded system that leaves part of the transfer chain latent.</t>
        </is>
      </c>
      <c r="E59" s="10" t="n">
        <v>17</v>
      </c>
      <c r="F59" s="10" t="inlineStr">
        <is>
          <t>No</t>
        </is>
      </c>
      <c r="G59" s="10" t="inlineStr">
        <is>
          <t>No</t>
        </is>
      </c>
      <c r="H59" s="10" t="n">
        <v>1</v>
      </c>
      <c r="I59" s="10" t="inlineStr"/>
      <c r="J59" s="10" t="inlineStr"/>
      <c r="K59" s="10" t="inlineStr">
        <is>
          <t>Not reviewed</t>
        </is>
      </c>
      <c r="L59" s="10" t="inlineStr"/>
    </row>
    <row r="60">
      <c r="A60" s="10" t="inlineStr">
        <is>
          <t>2. Review scope and critical evidence method</t>
        </is>
      </c>
      <c r="B60" s="10" t="n">
        <v>28</v>
      </c>
      <c r="C60" s="10" t="n">
        <v>4</v>
      </c>
      <c r="D60" s="10" t="inlineStr">
        <is>
          <t>Grade C denotes nominal or partial characterization vulnerable to coupling, order, batch or microclimate confounding.</t>
        </is>
      </c>
      <c r="E60" s="10" t="n">
        <v>15</v>
      </c>
      <c r="F60" s="10" t="inlineStr">
        <is>
          <t>No</t>
        </is>
      </c>
      <c r="G60" s="10" t="inlineStr">
        <is>
          <t>No</t>
        </is>
      </c>
      <c r="H60" s="10" t="n">
        <v>3</v>
      </c>
      <c r="I60" s="10" t="inlineStr"/>
      <c r="J60" s="10" t="inlineStr">
        <is>
          <t>Replace noun-heavy phrasing</t>
        </is>
      </c>
      <c r="K60" s="10" t="inlineStr">
        <is>
          <t>Not reviewed</t>
        </is>
      </c>
      <c r="L60" s="10" t="inlineStr"/>
    </row>
    <row r="61">
      <c r="A61" s="10" t="inlineStr">
        <is>
          <t>2. Review scope and critical evidence method</t>
        </is>
      </c>
      <c r="B61" s="10" t="n">
        <v>28</v>
      </c>
      <c r="C61" s="10" t="n">
        <v>5</v>
      </c>
      <c r="D61" s="10" t="inlineStr">
        <is>
          <t>Grade D denotes an unmeasured or undemonstrated link.</t>
        </is>
      </c>
      <c r="E61" s="10" t="n">
        <v>8</v>
      </c>
      <c r="F61" s="10" t="inlineStr">
        <is>
          <t>No</t>
        </is>
      </c>
      <c r="G61" s="10" t="inlineStr">
        <is>
          <t>No</t>
        </is>
      </c>
      <c r="H61" s="10" t="n">
        <v>0</v>
      </c>
      <c r="I61" s="10" t="inlineStr"/>
      <c r="J61" s="10" t="inlineStr"/>
      <c r="K61" s="10" t="inlineStr">
        <is>
          <t>Not reviewed</t>
        </is>
      </c>
      <c r="L61" s="10" t="inlineStr"/>
    </row>
    <row r="62">
      <c r="A62" s="10" t="inlineStr">
        <is>
          <t>2. Review scope and critical evidence method</t>
        </is>
      </c>
      <c r="B62" s="10" t="n">
        <v>28</v>
      </c>
      <c r="C62" s="10" t="n">
        <v>6</v>
      </c>
      <c r="D62" s="10" t="inlineStr">
        <is>
          <t>A study may therefore contain strong molecular analysis and weak mechanical exposure evidence.</t>
        </is>
      </c>
      <c r="E62" s="10" t="n">
        <v>13</v>
      </c>
      <c r="F62" s="10" t="inlineStr">
        <is>
          <t>No</t>
        </is>
      </c>
      <c r="G62" s="10" t="inlineStr">
        <is>
          <t>No</t>
        </is>
      </c>
      <c r="H62" s="10" t="n">
        <v>2</v>
      </c>
      <c r="I62" s="10" t="inlineStr"/>
      <c r="J62" s="10" t="inlineStr"/>
      <c r="K62" s="10" t="inlineStr">
        <is>
          <t>Not reviewed</t>
        </is>
      </c>
      <c r="L62" s="10" t="inlineStr"/>
    </row>
    <row r="63">
      <c r="A63" s="10" t="inlineStr">
        <is>
          <t>2. Review scope and critical evidence method</t>
        </is>
      </c>
      <c r="B63" s="10" t="n">
        <v>29</v>
      </c>
      <c r="C63" s="10" t="n">
        <v>1</v>
      </c>
      <c r="D63" s="10" t="inlineStr">
        <is>
          <t>The review makes corpus-bounded absence claims.</t>
        </is>
      </c>
      <c r="E63" s="10" t="n">
        <v>6</v>
      </c>
      <c r="F63" s="10" t="inlineStr">
        <is>
          <t>No</t>
        </is>
      </c>
      <c r="G63" s="10" t="inlineStr">
        <is>
          <t>No</t>
        </is>
      </c>
      <c r="H63" s="10" t="n">
        <v>1</v>
      </c>
      <c r="I63" s="10" t="inlineStr"/>
      <c r="J63" s="10" t="inlineStr"/>
      <c r="K63" s="10" t="inlineStr">
        <is>
          <t>Not reviewed</t>
        </is>
      </c>
      <c r="L63" s="10" t="inlineStr"/>
    </row>
    <row r="64">
      <c r="A64" s="10" t="inlineStr">
        <is>
          <t>2. Review scope and critical evidence method</t>
        </is>
      </c>
      <c r="B64" s="10" t="n">
        <v>29</v>
      </c>
      <c r="C64" s="10" t="n">
        <v>2</v>
      </c>
      <c r="D64" s="10" t="inlineStr">
        <is>
          <t>“None of the seven studies retained here” does not mean that no relevant study can exist outside the search record.</t>
        </is>
      </c>
      <c r="E64" s="10" t="n">
        <v>20</v>
      </c>
      <c r="F64" s="10" t="inlineStr">
        <is>
          <t>No</t>
        </is>
      </c>
      <c r="G64" s="10" t="inlineStr">
        <is>
          <t>No</t>
        </is>
      </c>
      <c r="H64" s="10" t="n">
        <v>0</v>
      </c>
      <c r="I64" s="10" t="inlineStr"/>
      <c r="J64" s="10" t="inlineStr"/>
      <c r="K64" s="10" t="inlineStr">
        <is>
          <t>Not reviewed</t>
        </is>
      </c>
      <c r="L64" s="10" t="inlineStr"/>
    </row>
    <row r="65">
      <c r="A65" s="10" t="inlineStr">
        <is>
          <t>2. Review scope and critical evidence method</t>
        </is>
      </c>
      <c r="B65" s="10" t="n">
        <v>29</v>
      </c>
      <c r="C65" s="10" t="n">
        <v>3</v>
      </c>
      <c r="D65" s="10" t="inlineStr">
        <is>
          <t>The complete search strings, eligibility log, study extraction and cell-level grade justifications should accompany submission as Supplementary Tables S1–S3.</t>
        </is>
      </c>
      <c r="E65" s="10" t="n">
        <v>20</v>
      </c>
      <c r="F65" s="10" t="inlineStr">
        <is>
          <t>No</t>
        </is>
      </c>
      <c r="G65" s="10" t="inlineStr">
        <is>
          <t>No</t>
        </is>
      </c>
      <c r="H65" s="10" t="n">
        <v>3</v>
      </c>
      <c r="I65" s="10" t="inlineStr"/>
      <c r="J65" s="10" t="inlineStr">
        <is>
          <t>Replace noun-heavy phrasing</t>
        </is>
      </c>
      <c r="K65" s="10" t="inlineStr">
        <is>
          <t>Not reviewed</t>
        </is>
      </c>
      <c r="L65" s="10" t="inlineStr"/>
    </row>
    <row r="66">
      <c r="A66" s="10" t="inlineStr">
        <is>
          <t>2. Review scope and critical evidence method</t>
        </is>
      </c>
      <c r="B66" s="10" t="n">
        <v>29</v>
      </c>
      <c r="C66" s="10" t="n">
        <v>4</v>
      </c>
      <c r="D66" s="10" t="inlineStr">
        <is>
          <t>No screening count or missing experimental detail is inferred when the source does not report it.</t>
        </is>
      </c>
      <c r="E66" s="10" t="n">
        <v>16</v>
      </c>
      <c r="F66" s="10" t="inlineStr">
        <is>
          <t>No</t>
        </is>
      </c>
      <c r="G66" s="10" t="inlineStr">
        <is>
          <t>Yes</t>
        </is>
      </c>
      <c r="H66" s="10" t="n">
        <v>1</v>
      </c>
      <c r="I66" s="10" t="inlineStr"/>
      <c r="J66" s="10" t="inlineStr">
        <is>
          <t>Consider active voice</t>
        </is>
      </c>
      <c r="K66" s="10" t="inlineStr">
        <is>
          <t>Not reviewed</t>
        </is>
      </c>
      <c r="L66" s="10" t="inlineStr"/>
    </row>
    <row r="67">
      <c r="A67" s="10" t="inlineStr">
        <is>
          <t>3.1 Frequency organizes sources, not effects</t>
        </is>
      </c>
      <c r="B67" s="10" t="n">
        <v>32</v>
      </c>
      <c r="C67" s="10" t="n">
        <v>1</v>
      </c>
      <c r="D67" s="10" t="inlineStr">
        <is>
          <t>The word sound hides five physical technology families: diagnostic acoustics; contact and structure-borne processing; low-intensity airborne intervention; airborne power ultrasound; and liquid power ultrasound.</t>
        </is>
      </c>
      <c r="E67" s="10" t="n">
        <v>24</v>
      </c>
      <c r="F67" s="10" t="inlineStr">
        <is>
          <t>No</t>
        </is>
      </c>
      <c r="G67" s="10" t="inlineStr">
        <is>
          <t>No</t>
        </is>
      </c>
      <c r="H67" s="10" t="n">
        <v>3</v>
      </c>
      <c r="I67" s="10" t="inlineStr"/>
      <c r="J67" s="10" t="inlineStr">
        <is>
          <t>Replace noun-heavy phrasing</t>
        </is>
      </c>
      <c r="K67" s="10" t="inlineStr">
        <is>
          <t>Not reviewed</t>
        </is>
      </c>
      <c r="L67" s="10" t="inlineStr"/>
    </row>
    <row r="68">
      <c r="A68" s="10" t="inlineStr">
        <is>
          <t>3.1 Frequency organizes sources, not effects</t>
        </is>
      </c>
      <c r="B68" s="10" t="n">
        <v>32</v>
      </c>
      <c r="C68" s="10" t="n">
        <v>2</v>
      </c>
      <c r="D68" s="10" t="inlineStr">
        <is>
          <t>Diagnostic acoustics contains two operational modalities—impact/resonance sensing and megahertz propagation or imaging—but both seek information from small perturbations.</t>
        </is>
      </c>
      <c r="E68" s="10" t="n">
        <v>21</v>
      </c>
      <c r="F68" s="10" t="inlineStr">
        <is>
          <t>No</t>
        </is>
      </c>
      <c r="G68" s="10" t="inlineStr">
        <is>
          <t>No</t>
        </is>
      </c>
      <c r="H68" s="10" t="n">
        <v>4</v>
      </c>
      <c r="I68" s="10" t="inlineStr"/>
      <c r="J68" s="10" t="inlineStr">
        <is>
          <t>Replace noun-heavy phrasing</t>
        </is>
      </c>
      <c r="K68" s="10" t="inlineStr">
        <is>
          <t>Not reviewed</t>
        </is>
      </c>
      <c r="L68" s="10" t="inlineStr"/>
    </row>
    <row r="69">
      <c r="A69" s="10" t="inlineStr">
        <is>
          <t>3.1 Frequency organizes sources, not effects</t>
        </is>
      </c>
      <c r="B69" s="10" t="n">
        <v>32</v>
      </c>
      <c r="C69" s="10" t="n">
        <v>3</v>
      </c>
      <c r="D69" s="10" t="inlineStr">
        <is>
          <t>The processing families instead transfer energy to change transport, structure, safety or quality.</t>
        </is>
      </c>
      <c r="E69" s="10" t="n">
        <v>13</v>
      </c>
      <c r="F69" s="10" t="inlineStr">
        <is>
          <t>No</t>
        </is>
      </c>
      <c r="G69" s="10" t="inlineStr">
        <is>
          <t>No</t>
        </is>
      </c>
      <c r="H69" s="10" t="n">
        <v>0</v>
      </c>
      <c r="I69" s="10" t="inlineStr"/>
      <c r="J69" s="10" t="inlineStr"/>
      <c r="K69" s="10" t="inlineStr">
        <is>
          <t>Not reviewed</t>
        </is>
      </c>
      <c r="L69" s="10" t="inlineStr"/>
    </row>
    <row r="70">
      <c r="A70" s="10" t="inlineStr">
        <is>
          <t>3.1 Frequency organizes sources, not effects</t>
        </is>
      </c>
      <c r="B70" s="10" t="n">
        <v>33</v>
      </c>
      <c r="C70" s="10" t="n">
        <v>1</v>
      </c>
      <c r="D70" s="10" t="inlineStr">
        <is>
          <t>Figure 1 separates source frequency from receiver-effect regime.</t>
        </is>
      </c>
      <c r="E70" s="10" t="n">
        <v>8</v>
      </c>
      <c r="F70" s="10" t="inlineStr">
        <is>
          <t>No</t>
        </is>
      </c>
      <c r="G70" s="10" t="inlineStr">
        <is>
          <t>No</t>
        </is>
      </c>
      <c r="H70" s="10" t="n">
        <v>0</v>
      </c>
      <c r="I70" s="10" t="inlineStr"/>
      <c r="J70" s="10" t="inlineStr"/>
      <c r="K70" s="10" t="inlineStr">
        <is>
          <t>Not reviewed</t>
        </is>
      </c>
      <c r="L70" s="10" t="inlineStr"/>
    </row>
    <row r="71">
      <c r="A71" s="10" t="inlineStr">
        <is>
          <t>3.1 Frequency organizes sources, not effects</t>
        </is>
      </c>
      <c r="B71" s="10" t="n">
        <v>33</v>
      </c>
      <c r="C71" s="10" t="n">
        <v>2</v>
      </c>
      <c r="D71" s="10" t="inlineStr">
        <is>
          <t>Its vertical dimension is conceptual, not a common dose axis.</t>
        </is>
      </c>
      <c r="E71" s="10" t="n">
        <v>10</v>
      </c>
      <c r="F71" s="10" t="inlineStr">
        <is>
          <t>No</t>
        </is>
      </c>
      <c r="G71" s="10" t="inlineStr">
        <is>
          <t>No</t>
        </is>
      </c>
      <c r="H71" s="10" t="n">
        <v>3</v>
      </c>
      <c r="I71" s="10" t="inlineStr"/>
      <c r="J71" s="10" t="inlineStr">
        <is>
          <t>Replace noun-heavy phrasing</t>
        </is>
      </c>
      <c r="K71" s="10" t="inlineStr">
        <is>
          <t>Not reviewed</t>
        </is>
      </c>
      <c r="L71" s="10" t="inlineStr"/>
    </row>
    <row r="72">
      <c r="A72" s="10" t="inlineStr">
        <is>
          <t>3.1 Frequency organizes sources, not effects</t>
        </is>
      </c>
      <c r="B72" s="10" t="n">
        <v>33</v>
      </c>
      <c r="C72" s="10" t="n">
        <v>3</v>
      </c>
      <c r="D72" s="10" t="inlineStr">
        <is>
          <t>Airborne intensity, tray acceleration, tool displacement and cavitation activity have different dimensions and cannot be collapsed without a validated transfer model.</t>
        </is>
      </c>
      <c r="E72" s="10" t="n">
        <v>21</v>
      </c>
      <c r="F72" s="10" t="inlineStr">
        <is>
          <t>No</t>
        </is>
      </c>
      <c r="G72" s="10" t="inlineStr">
        <is>
          <t>Yes</t>
        </is>
      </c>
      <c r="H72" s="10" t="n">
        <v>5</v>
      </c>
      <c r="I72" s="10" t="inlineStr"/>
      <c r="J72" s="10" t="inlineStr">
        <is>
          <t>Consider active voice; Replace noun-heavy phrasing</t>
        </is>
      </c>
      <c r="K72" s="10" t="inlineStr">
        <is>
          <t>Not reviewed</t>
        </is>
      </c>
      <c r="L72" s="10" t="inlineStr"/>
    </row>
    <row r="73">
      <c r="A73" s="10" t="inlineStr">
        <is>
          <t>3.1 Frequency organizes sources, not effects</t>
        </is>
      </c>
      <c r="B73" s="10" t="n">
        <v>33</v>
      </c>
      <c r="C73" s="10" t="n">
        <v>4</v>
      </c>
      <c r="D73" s="10" t="inlineStr">
        <is>
          <t>The 25 kHz slice exposes the central category error: one label can hide direct tool strain, gas-boundary-layer forcing, liquid cavitation and support motion.</t>
        </is>
      </c>
      <c r="E73" s="10" t="n">
        <v>23</v>
      </c>
      <c r="F73" s="10" t="inlineStr">
        <is>
          <t>No</t>
        </is>
      </c>
      <c r="G73" s="10" t="inlineStr">
        <is>
          <t>No</t>
        </is>
      </c>
      <c r="H73" s="10" t="n">
        <v>3</v>
      </c>
      <c r="I73" s="10" t="inlineStr"/>
      <c r="J73" s="10" t="inlineStr">
        <is>
          <t>Replace noun-heavy phrasing</t>
        </is>
      </c>
      <c r="K73" s="10" t="inlineStr">
        <is>
          <t>Not reviewed</t>
        </is>
      </c>
      <c r="L73" s="10" t="inlineStr"/>
    </row>
    <row r="74">
      <c r="A74" s="10" t="inlineStr">
        <is>
          <t>3.1 Frequency organizes sources, not effects</t>
        </is>
      </c>
      <c r="B74" s="10" t="n">
        <v>34</v>
      </c>
      <c r="C74" s="10" t="n">
        <v>1</v>
      </c>
      <c r="D74" s="10" t="inlineStr">
        <is>
          <t>Table 1 translates the map into process-design variables.</t>
        </is>
      </c>
      <c r="E74" s="10" t="n">
        <v>8</v>
      </c>
      <c r="F74" s="10" t="inlineStr">
        <is>
          <t>No</t>
        </is>
      </c>
      <c r="G74" s="10" t="inlineStr">
        <is>
          <t>No</t>
        </is>
      </c>
      <c r="H74" s="10" t="n">
        <v>0</v>
      </c>
      <c r="I74" s="10" t="inlineStr"/>
      <c r="J74" s="10" t="inlineStr"/>
      <c r="K74" s="10" t="inlineStr">
        <is>
          <t>Not reviewed</t>
        </is>
      </c>
      <c r="L74" s="10" t="inlineStr"/>
    </row>
    <row r="75">
      <c r="A75" s="10" t="inlineStr">
        <is>
          <t>3.1 Frequency organizes sources, not effects</t>
        </is>
      </c>
      <c r="B75" s="10" t="n">
        <v>34</v>
      </c>
      <c r="C75" s="10" t="n">
        <v>2</v>
      </c>
      <c r="D75" s="10" t="inlineStr">
        <is>
          <t>The decisive column is the receiver variable: each family requires a different measurement before its outcome can be interpreted.</t>
        </is>
      </c>
      <c r="E75" s="10" t="n">
        <v>19</v>
      </c>
      <c r="F75" s="10" t="inlineStr">
        <is>
          <t>No</t>
        </is>
      </c>
      <c r="G75" s="10" t="inlineStr">
        <is>
          <t>Yes</t>
        </is>
      </c>
      <c r="H75" s="10" t="n">
        <v>1</v>
      </c>
      <c r="I75" s="10" t="inlineStr"/>
      <c r="J75" s="10" t="inlineStr">
        <is>
          <t>Consider active voice</t>
        </is>
      </c>
      <c r="K75" s="10" t="inlineStr">
        <is>
          <t>Not reviewed</t>
        </is>
      </c>
      <c r="L75" s="10" t="inlineStr"/>
    </row>
    <row r="76">
      <c r="A76" s="10" t="inlineStr">
        <is>
          <t>3.1 Frequency organizes sources, not effects</t>
        </is>
      </c>
      <c r="B76" s="10" t="n">
        <v>37</v>
      </c>
      <c r="C76" s="10" t="n">
        <v>1</v>
      </c>
      <c r="D76" s="10" t="inlineStr">
        <is>
          <t>Figure 1.</t>
        </is>
      </c>
      <c r="E76" s="10" t="n">
        <v>2</v>
      </c>
      <c r="F76" s="10" t="inlineStr">
        <is>
          <t>No</t>
        </is>
      </c>
      <c r="G76" s="10" t="inlineStr">
        <is>
          <t>No</t>
        </is>
      </c>
      <c r="H76" s="10" t="n">
        <v>0</v>
      </c>
      <c r="I76" s="10" t="inlineStr"/>
      <c r="J76" s="10" t="inlineStr"/>
      <c r="K76" s="10" t="inlineStr">
        <is>
          <t>Not reviewed</t>
        </is>
      </c>
      <c r="L76" s="10" t="inlineStr"/>
    </row>
    <row r="77">
      <c r="A77" s="10" t="inlineStr">
        <is>
          <t>3.1 Frequency organizes sources, not effects</t>
        </is>
      </c>
      <c r="B77" s="10" t="n">
        <v>37</v>
      </c>
      <c r="C77" s="10" t="n">
        <v>2</v>
      </c>
      <c r="D77" s="10" t="inlineStr">
        <is>
          <t>One acoustic spectrum, multiple physical technologies.</t>
        </is>
      </c>
      <c r="E77" s="10" t="n">
        <v>6</v>
      </c>
      <c r="F77" s="10" t="inlineStr">
        <is>
          <t>No</t>
        </is>
      </c>
      <c r="G77" s="10" t="inlineStr">
        <is>
          <t>No</t>
        </is>
      </c>
      <c r="H77" s="10" t="n">
        <v>1</v>
      </c>
      <c r="I77" s="10" t="inlineStr"/>
      <c r="J77" s="10" t="inlineStr"/>
      <c r="K77" s="10" t="inlineStr">
        <is>
          <t>Not reviewed</t>
        </is>
      </c>
      <c r="L77" s="10" t="inlineStr"/>
    </row>
    <row r="78">
      <c r="A78" s="10" t="inlineStr">
        <is>
          <t>3.1 Frequency organizes sources, not effects</t>
        </is>
      </c>
      <c r="B78" s="10" t="n">
        <v>37</v>
      </c>
      <c r="C78" s="10" t="n">
        <v>3</v>
      </c>
      <c r="D78" s="10" t="inlineStr">
        <is>
          <t>Typical frequency ranges locate source bands but do not define the receiver exposure or mechanism.</t>
        </is>
      </c>
      <c r="E78" s="10" t="n">
        <v>15</v>
      </c>
      <c r="F78" s="10" t="inlineStr">
        <is>
          <t>No</t>
        </is>
      </c>
      <c r="G78" s="10" t="inlineStr">
        <is>
          <t>No</t>
        </is>
      </c>
      <c r="H78" s="10" t="n">
        <v>1</v>
      </c>
      <c r="I78" s="10" t="inlineStr"/>
      <c r="J78" s="10" t="inlineStr"/>
      <c r="K78" s="10" t="inlineStr">
        <is>
          <t>Not reviewed</t>
        </is>
      </c>
      <c r="L78" s="10" t="inlineStr"/>
    </row>
    <row r="79">
      <c r="A79" s="10" t="inlineStr">
        <is>
          <t>3.1 Frequency organizes sources, not effects</t>
        </is>
      </c>
      <c r="B79" s="10" t="n">
        <v>37</v>
      </c>
      <c r="C79" s="10" t="n">
        <v>4</v>
      </c>
      <c r="D79" s="10" t="inlineStr">
        <is>
          <t>The 25 kHz counterexample shows contact-tool strain, airborne boundary-layer forcing, liquid cavitation and structure-borne support motion under the same nominal hertz label.</t>
        </is>
      </c>
      <c r="E79" s="10" t="n">
        <v>22</v>
      </c>
      <c r="F79" s="10" t="inlineStr">
        <is>
          <t>No</t>
        </is>
      </c>
      <c r="G79" s="10" t="inlineStr">
        <is>
          <t>No</t>
        </is>
      </c>
      <c r="H79" s="10" t="n">
        <v>3</v>
      </c>
      <c r="I79" s="10" t="inlineStr"/>
      <c r="J79" s="10" t="inlineStr">
        <is>
          <t>Replace noun-heavy phrasing</t>
        </is>
      </c>
      <c r="K79" s="10" t="inlineStr">
        <is>
          <t>Not reviewed</t>
        </is>
      </c>
      <c r="L79" s="10" t="inlineStr"/>
    </row>
    <row r="80">
      <c r="A80" s="10" t="inlineStr">
        <is>
          <t>3.1 Frequency organizes sources, not effects</t>
        </is>
      </c>
      <c r="B80" s="10" t="n">
        <v>37</v>
      </c>
      <c r="C80" s="10" t="n">
        <v>5</v>
      </c>
      <c r="D80" s="10" t="inlineStr">
        <is>
          <t>The vertical dimension is conceptual rather than a universal dose axis.</t>
        </is>
      </c>
      <c r="E80" s="10" t="n">
        <v>11</v>
      </c>
      <c r="F80" s="10" t="inlineStr">
        <is>
          <t>No</t>
        </is>
      </c>
      <c r="G80" s="10" t="inlineStr">
        <is>
          <t>No</t>
        </is>
      </c>
      <c r="H80" s="10" t="n">
        <v>4</v>
      </c>
      <c r="I80" s="10" t="inlineStr"/>
      <c r="J80" s="10" t="inlineStr">
        <is>
          <t>Replace noun-heavy phrasing</t>
        </is>
      </c>
      <c r="K80" s="10" t="inlineStr">
        <is>
          <t>Not reviewed</t>
        </is>
      </c>
      <c r="L80" s="10" t="inlineStr"/>
    </row>
    <row r="81">
      <c r="A81" s="10" t="inlineStr">
        <is>
          <t>3.1 Frequency organizes sources, not effects</t>
        </is>
      </c>
      <c r="B81" s="10" t="n">
        <v>39</v>
      </c>
      <c r="C81" s="10" t="n">
        <v>1</v>
      </c>
      <c r="D81" s="10" t="inlineStr">
        <is>
          <t>Table 1.</t>
        </is>
      </c>
      <c r="E81" s="10" t="n">
        <v>2</v>
      </c>
      <c r="F81" s="10" t="inlineStr">
        <is>
          <t>No</t>
        </is>
      </c>
      <c r="G81" s="10" t="inlineStr">
        <is>
          <t>No</t>
        </is>
      </c>
      <c r="H81" s="10" t="n">
        <v>0</v>
      </c>
      <c r="I81" s="10" t="inlineStr"/>
      <c r="J81" s="10" t="inlineStr"/>
      <c r="K81" s="10" t="inlineStr">
        <is>
          <t>Not reviewed</t>
        </is>
      </c>
      <c r="L81" s="10" t="inlineStr"/>
    </row>
    <row r="82">
      <c r="A82" s="10" t="inlineStr">
        <is>
          <t>3.1 Frequency organizes sources, not effects</t>
        </is>
      </c>
      <c r="B82" s="10" t="n">
        <v>39</v>
      </c>
      <c r="C82" s="10" t="n">
        <v>2</v>
      </c>
      <c r="D82" s="10" t="inlineStr">
        <is>
          <t>Acoustic technology families, defining mechanisms and receiver-centred process-design requirements.</t>
        </is>
      </c>
      <c r="E82" s="10" t="n">
        <v>9</v>
      </c>
      <c r="F82" s="10" t="inlineStr">
        <is>
          <t>No</t>
        </is>
      </c>
      <c r="G82" s="10" t="inlineStr">
        <is>
          <t>No</t>
        </is>
      </c>
      <c r="H82" s="10" t="n">
        <v>0</v>
      </c>
      <c r="I82" s="10" t="inlineStr"/>
      <c r="J82" s="10" t="inlineStr"/>
      <c r="K82" s="10" t="inlineStr">
        <is>
          <t>Not reviewed</t>
        </is>
      </c>
      <c r="L82" s="10" t="inlineStr"/>
    </row>
    <row r="83">
      <c r="A83" s="10" t="inlineStr">
        <is>
          <t>3.1 Frequency organizes sources, not effects</t>
        </is>
      </c>
      <c r="B83" s="10" t="n">
        <v>40</v>
      </c>
      <c r="C83" s="10" t="n">
        <v>1</v>
      </c>
      <c r="D83" s="10" t="inlineStr">
        <is>
          <t>Frequency ranges are typical and non-prescriptive.</t>
        </is>
      </c>
      <c r="E83" s="10" t="n">
        <v>6</v>
      </c>
      <c r="F83" s="10" t="inlineStr">
        <is>
          <t>No</t>
        </is>
      </c>
      <c r="G83" s="10" t="inlineStr">
        <is>
          <t>No</t>
        </is>
      </c>
      <c r="H83" s="10" t="n">
        <v>1</v>
      </c>
      <c r="I83" s="10" t="inlineStr"/>
      <c r="J83" s="10" t="inlineStr"/>
      <c r="K83" s="10" t="inlineStr">
        <is>
          <t>Not reviewed</t>
        </is>
      </c>
      <c r="L83" s="10" t="inlineStr"/>
    </row>
    <row r="84">
      <c r="A84" s="10" t="inlineStr">
        <is>
          <t>3.1 Frequency organizes sources, not effects</t>
        </is>
      </c>
      <c r="B84" s="10" t="n">
        <v>40</v>
      </c>
      <c r="C84" s="10" t="n">
        <v>2</v>
      </c>
      <c r="D84" s="10" t="inlineStr">
        <is>
          <t>“Evidence maturity” describes the literature body, not the quality of every individual study.</t>
        </is>
      </c>
      <c r="E84" s="10" t="n">
        <v>13</v>
      </c>
      <c r="F84" s="10" t="inlineStr">
        <is>
          <t>No</t>
        </is>
      </c>
      <c r="G84" s="10" t="inlineStr">
        <is>
          <t>No</t>
        </is>
      </c>
      <c r="H84" s="10" t="n">
        <v>2</v>
      </c>
      <c r="I84" s="10" t="inlineStr"/>
      <c r="J84" s="10" t="inlineStr"/>
      <c r="K84" s="10" t="inlineStr">
        <is>
          <t>Not reviewed</t>
        </is>
      </c>
      <c r="L84" s="10" t="inlineStr"/>
    </row>
    <row r="85">
      <c r="A85" s="10" t="inlineStr">
        <is>
          <t>3.2 Source settings do not define receiver exposure</t>
        </is>
      </c>
      <c r="B85" s="10" t="n">
        <v>43</v>
      </c>
      <c r="C85" s="10" t="n">
        <v>1</v>
      </c>
      <c r="D85" s="10" t="inlineStr">
        <is>
          <t>Sound-pressure level converts an acoustic pressure amplitude to a logarithmic reference; it does not state how much mechanical energy enters a fruit.</t>
        </is>
      </c>
      <c r="E85" s="10" t="n">
        <v>22</v>
      </c>
      <c r="F85" s="10" t="inlineStr">
        <is>
          <t>No</t>
        </is>
      </c>
      <c r="G85" s="10" t="inlineStr">
        <is>
          <t>No</t>
        </is>
      </c>
      <c r="H85" s="10" t="n">
        <v>2</v>
      </c>
      <c r="I85" s="10" t="inlineStr"/>
      <c r="J85" s="10" t="inlineStr"/>
      <c r="K85" s="10" t="inlineStr">
        <is>
          <t>Not reviewed</t>
        </is>
      </c>
      <c r="L85" s="10" t="inlineStr"/>
    </row>
    <row r="86">
      <c r="A86" s="10" t="inlineStr">
        <is>
          <t>3.2 Source settings do not define receiver exposure</t>
        </is>
      </c>
      <c r="B86" s="10" t="n">
        <v>43</v>
      </c>
      <c r="C86" s="10" t="n">
        <v>2</v>
      </c>
      <c r="D86" s="10" t="inlineStr">
        <is>
          <t>For airborne sound,</t>
        </is>
      </c>
      <c r="E86" s="10" t="n">
        <v>3</v>
      </c>
      <c r="F86" s="10" t="inlineStr">
        <is>
          <t>No</t>
        </is>
      </c>
      <c r="G86" s="10" t="inlineStr">
        <is>
          <t>No</t>
        </is>
      </c>
      <c r="H86" s="10" t="n">
        <v>0</v>
      </c>
      <c r="I86" s="10" t="inlineStr"/>
      <c r="J86" s="10" t="inlineStr"/>
      <c r="K86" s="10" t="inlineStr">
        <is>
          <t>Not reviewed</t>
        </is>
      </c>
      <c r="L86" s="10" t="inlineStr"/>
    </row>
    <row r="87">
      <c r="A87" s="10" t="inlineStr">
        <is>
          <t>3.2 Source settings do not define receiver exposure</t>
        </is>
      </c>
      <c r="B87" s="10" t="n">
        <v>44</v>
      </c>
      <c r="C87" s="10" t="n">
        <v>1</v>
      </c>
      <c r="D87" s="10" t="inlineStr">
        <is>
          <t>Equation 1</t>
        </is>
      </c>
      <c r="E87" s="10" t="n">
        <v>2</v>
      </c>
      <c r="F87" s="10" t="inlineStr">
        <is>
          <t>No</t>
        </is>
      </c>
      <c r="G87" s="10" t="inlineStr">
        <is>
          <t>No</t>
        </is>
      </c>
      <c r="H87" s="10" t="n">
        <v>1</v>
      </c>
      <c r="I87" s="10" t="inlineStr"/>
      <c r="J87" s="10" t="inlineStr"/>
      <c r="K87" s="10" t="inlineStr">
        <is>
          <t>Not reviewed</t>
        </is>
      </c>
      <c r="L87" s="10" t="inlineStr"/>
    </row>
    <row r="88">
      <c r="A88" s="10" t="inlineStr">
        <is>
          <t>3.2 Source settings do not define receiver exposure</t>
        </is>
      </c>
      <c r="B88" s="10" t="n">
        <v>45</v>
      </c>
      <c r="C88" s="10" t="n">
        <v>1</v>
      </c>
      <c r="D88" s="10" t="inlineStr">
        <is>
          <t>where p_rms is root-mean-square acoustic pressure and p₀ is 20 µPa.</t>
        </is>
      </c>
      <c r="E88" s="10" t="n">
        <v>11</v>
      </c>
      <c r="F88" s="10" t="inlineStr">
        <is>
          <t>No</t>
        </is>
      </c>
      <c r="G88" s="10" t="inlineStr">
        <is>
          <t>No</t>
        </is>
      </c>
      <c r="H88" s="10" t="n">
        <v>0</v>
      </c>
      <c r="I88" s="10" t="inlineStr"/>
      <c r="J88" s="10" t="inlineStr"/>
      <c r="K88" s="10" t="inlineStr">
        <is>
          <t>Not reviewed</t>
        </is>
      </c>
      <c r="L88" s="10" t="inlineStr"/>
    </row>
    <row r="89">
      <c r="A89" s="10" t="inlineStr">
        <is>
          <t>3.2 Source settings do not define receiver exposure</t>
        </is>
      </c>
      <c r="B89" s="10" t="n">
        <v>45</v>
      </c>
      <c r="C89" s="10" t="n">
        <v>2</v>
      </c>
      <c r="D89" s="10" t="inlineStr">
        <is>
          <t>Values of 80, 90, 94 and 100 dB correspond approximately to 0.20, 0.63, 1.0 and 2.0 Pa root mean square.</t>
        </is>
      </c>
      <c r="E89" s="10" t="n">
        <v>24</v>
      </c>
      <c r="F89" s="10" t="inlineStr">
        <is>
          <t>No</t>
        </is>
      </c>
      <c r="G89" s="10" t="inlineStr">
        <is>
          <t>No</t>
        </is>
      </c>
      <c r="H89" s="10" t="n">
        <v>0</v>
      </c>
      <c r="I89" s="10" t="inlineStr"/>
      <c r="J89" s="10" t="inlineStr"/>
      <c r="K89" s="10" t="inlineStr">
        <is>
          <t>Not reviewed</t>
        </is>
      </c>
      <c r="L89" s="10" t="inlineStr"/>
    </row>
    <row r="90">
      <c r="A90" s="10" t="inlineStr">
        <is>
          <t>3.2 Source settings do not define receiver exposure</t>
        </is>
      </c>
      <c r="B90" s="10" t="n">
        <v>45</v>
      </c>
      <c r="C90" s="10" t="n">
        <v>3</v>
      </c>
      <c r="D90" s="10" t="inlineStr">
        <is>
          <t>Under the restrictive assumption of a progressive plane wave, incident intensity is</t>
        </is>
      </c>
      <c r="E90" s="10" t="n">
        <v>12</v>
      </c>
      <c r="F90" s="10" t="inlineStr">
        <is>
          <t>No</t>
        </is>
      </c>
      <c r="G90" s="10" t="inlineStr">
        <is>
          <t>No</t>
        </is>
      </c>
      <c r="H90" s="10" t="n">
        <v>2</v>
      </c>
      <c r="I90" s="10" t="inlineStr"/>
      <c r="J90" s="10" t="inlineStr"/>
      <c r="K90" s="10" t="inlineStr">
        <is>
          <t>Not reviewed</t>
        </is>
      </c>
      <c r="L90" s="10" t="inlineStr"/>
    </row>
    <row r="91">
      <c r="A91" s="10" t="inlineStr">
        <is>
          <t>3.2 Source settings do not define receiver exposure</t>
        </is>
      </c>
      <c r="B91" s="10" t="n">
        <v>46</v>
      </c>
      <c r="C91" s="10" t="n">
        <v>1</v>
      </c>
      <c r="D91" s="10" t="inlineStr">
        <is>
          <t>Equation 2</t>
        </is>
      </c>
      <c r="E91" s="10" t="n">
        <v>2</v>
      </c>
      <c r="F91" s="10" t="inlineStr">
        <is>
          <t>No</t>
        </is>
      </c>
      <c r="G91" s="10" t="inlineStr">
        <is>
          <t>No</t>
        </is>
      </c>
      <c r="H91" s="10" t="n">
        <v>1</v>
      </c>
      <c r="I91" s="10" t="inlineStr"/>
      <c r="J91" s="10" t="inlineStr"/>
      <c r="K91" s="10" t="inlineStr">
        <is>
          <t>Not reviewed</t>
        </is>
      </c>
      <c r="L91" s="10" t="inlineStr"/>
    </row>
    <row r="92">
      <c r="A92" s="10" t="inlineStr">
        <is>
          <t>3.2 Source settings do not define receiver exposure</t>
        </is>
      </c>
      <c r="B92" s="10" t="n">
        <v>47</v>
      </c>
      <c r="C92" s="10" t="n">
        <v>1</v>
      </c>
      <c r="D92" s="10" t="inlineStr">
        <is>
          <t>At 100 dB, Equation 2 gives about 9.7 mW m⁻² in air.</t>
        </is>
      </c>
      <c r="E92" s="10" t="n">
        <v>14</v>
      </c>
      <c r="F92" s="10" t="inlineStr">
        <is>
          <t>No</t>
        </is>
      </c>
      <c r="G92" s="10" t="inlineStr">
        <is>
          <t>No</t>
        </is>
      </c>
      <c r="H92" s="10" t="n">
        <v>1</v>
      </c>
      <c r="I92" s="10" t="inlineStr"/>
      <c r="J92" s="10" t="inlineStr"/>
      <c r="K92" s="10" t="inlineStr">
        <is>
          <t>Not reviewed</t>
        </is>
      </c>
      <c r="L92" s="10" t="inlineStr"/>
    </row>
    <row r="93">
      <c r="A93" s="10" t="inlineStr">
        <is>
          <t>3.2 Source settings do not define receiver exposure</t>
        </is>
      </c>
      <c r="B93" s="10" t="n">
        <v>47</v>
      </c>
      <c r="C93" s="10" t="n">
        <v>2</v>
      </c>
      <c r="D93" s="10" t="inlineStr">
        <is>
          <t>A chamber can nevertheless sustain high pressure and low net energy flux when pressure and particle velocity are out of phase.</t>
        </is>
      </c>
      <c r="E93" s="10" t="n">
        <v>21</v>
      </c>
      <c r="F93" s="10" t="inlineStr">
        <is>
          <t>No</t>
        </is>
      </c>
      <c r="G93" s="10" t="inlineStr">
        <is>
          <t>No</t>
        </is>
      </c>
      <c r="H93" s="10" t="n">
        <v>0</v>
      </c>
      <c r="I93" s="10" t="inlineStr"/>
      <c r="J93" s="10" t="inlineStr"/>
      <c r="K93" s="10" t="inlineStr">
        <is>
          <t>Not reviewed</t>
        </is>
      </c>
      <c r="L93" s="10" t="inlineStr"/>
    </row>
    <row r="94">
      <c r="A94" s="10" t="inlineStr">
        <is>
          <t>3.2 Source settings do not define receiver exposure</t>
        </is>
      </c>
      <c r="B94" s="10" t="n">
        <v>47</v>
      </c>
      <c r="C94" s="10" t="n">
        <v>3</v>
      </c>
      <c r="D94" s="10" t="inlineStr">
        <is>
          <t>The air-to-water-rich-tissue impedance mismatch further limits transfer.</t>
        </is>
      </c>
      <c r="E94" s="10" t="n">
        <v>7</v>
      </c>
      <c r="F94" s="10" t="inlineStr">
        <is>
          <t>No</t>
        </is>
      </c>
      <c r="G94" s="10" t="inlineStr">
        <is>
          <t>No</t>
        </is>
      </c>
      <c r="H94" s="10" t="n">
        <v>1</v>
      </c>
      <c r="I94" s="10" t="inlineStr"/>
      <c r="J94" s="10" t="inlineStr"/>
      <c r="K94" s="10" t="inlineStr">
        <is>
          <t>Not reviewed</t>
        </is>
      </c>
      <c r="L94" s="10" t="inlineStr"/>
    </row>
    <row r="95">
      <c r="A95" s="10" t="inlineStr">
        <is>
          <t>3.2 Source settings do not define receiver exposure</t>
        </is>
      </c>
      <c r="B95" s="10" t="n">
        <v>47</v>
      </c>
      <c r="C95" s="10" t="n">
        <v>4</v>
      </c>
      <c r="D95" s="10" t="inlineStr">
        <is>
          <t>Curvature, peel, porosity, local compliance and structural resonance make a planar transmission coefficient an order-of-magnitude warning, not a substitute for receiver measurement.</t>
        </is>
      </c>
      <c r="E95" s="10" t="n">
        <v>22</v>
      </c>
      <c r="F95" s="10" t="inlineStr">
        <is>
          <t>No</t>
        </is>
      </c>
      <c r="G95" s="10" t="inlineStr">
        <is>
          <t>No</t>
        </is>
      </c>
      <c r="H95" s="10" t="n">
        <v>7</v>
      </c>
      <c r="I95" s="10" t="inlineStr"/>
      <c r="J95" s="10" t="inlineStr">
        <is>
          <t>Replace noun-heavy phrasing</t>
        </is>
      </c>
      <c r="K95" s="10" t="inlineStr">
        <is>
          <t>Not reviewed</t>
        </is>
      </c>
      <c r="L95" s="10" t="inlineStr"/>
    </row>
    <row r="96">
      <c r="A96" s="10" t="inlineStr">
        <is>
          <t>3.2 Source settings do not define receiver exposure</t>
        </is>
      </c>
      <c r="B96" s="10" t="n">
        <v>48</v>
      </c>
      <c r="C96" s="10" t="n">
        <v>1</v>
      </c>
      <c r="D96" s="10" t="inlineStr">
        <is>
          <t>The mechanically relevant airborne quantity is the time-averaged power crossing the fruit surface.</t>
        </is>
      </c>
      <c r="E96" s="10" t="n">
        <v>13</v>
      </c>
      <c r="F96" s="10" t="inlineStr">
        <is>
          <t>No</t>
        </is>
      </c>
      <c r="G96" s="10" t="inlineStr">
        <is>
          <t>No</t>
        </is>
      </c>
      <c r="H96" s="10" t="n">
        <v>1</v>
      </c>
      <c r="I96" s="10" t="inlineStr"/>
      <c r="J96" s="10" t="inlineStr"/>
      <c r="K96" s="10" t="inlineStr">
        <is>
          <t>Not reviewed</t>
        </is>
      </c>
      <c r="L96" s="10" t="inlineStr"/>
    </row>
    <row r="97">
      <c r="A97" s="10" t="inlineStr">
        <is>
          <t>3.2 Source settings do not define receiver exposure</t>
        </is>
      </c>
      <c r="B97" s="10" t="n">
        <v>48</v>
      </c>
      <c r="C97" s="10" t="n">
        <v>2</v>
      </c>
      <c r="D97" s="10" t="inlineStr">
        <is>
          <t>For a contact route, the corresponding quantity is work transferred through force and contact velocity:</t>
        </is>
      </c>
      <c r="E97" s="10" t="n">
        <v>15</v>
      </c>
      <c r="F97" s="10" t="inlineStr">
        <is>
          <t>No</t>
        </is>
      </c>
      <c r="G97" s="10" t="inlineStr">
        <is>
          <t>Yes</t>
        </is>
      </c>
      <c r="H97" s="10" t="n">
        <v>1</v>
      </c>
      <c r="I97" s="10" t="inlineStr"/>
      <c r="J97" s="10" t="inlineStr">
        <is>
          <t>Consider active voice</t>
        </is>
      </c>
      <c r="K97" s="10" t="inlineStr">
        <is>
          <t>Not reviewed</t>
        </is>
      </c>
      <c r="L97" s="10" t="inlineStr"/>
    </row>
    <row r="98">
      <c r="A98" s="10" t="inlineStr">
        <is>
          <t>3.2 Source settings do not define receiver exposure</t>
        </is>
      </c>
      <c r="B98" s="10" t="n">
        <v>49</v>
      </c>
      <c r="C98" s="10" t="n">
        <v>1</v>
      </c>
      <c r="D98" s="10" t="inlineStr">
        <is>
          <t>Equation 3</t>
        </is>
      </c>
      <c r="E98" s="10" t="n">
        <v>2</v>
      </c>
      <c r="F98" s="10" t="inlineStr">
        <is>
          <t>No</t>
        </is>
      </c>
      <c r="G98" s="10" t="inlineStr">
        <is>
          <t>No</t>
        </is>
      </c>
      <c r="H98" s="10" t="n">
        <v>1</v>
      </c>
      <c r="I98" s="10" t="inlineStr"/>
      <c r="J98" s="10" t="inlineStr"/>
      <c r="K98" s="10" t="inlineStr">
        <is>
          <t>Not reviewed</t>
        </is>
      </c>
      <c r="L98" s="10" t="inlineStr"/>
    </row>
    <row r="99">
      <c r="A99" s="10" t="inlineStr">
        <is>
          <t>3.2 Source settings do not define receiver exposure</t>
        </is>
      </c>
      <c r="B99" s="10" t="n">
        <v>50</v>
      </c>
      <c r="C99" s="10" t="n">
        <v>1</v>
      </c>
      <c r="D99" s="10" t="inlineStr">
        <is>
          <t>These expressions expose what speaker wattage and one microphone reading omit: pressure–velocity phase, spatial nonuniformity, fruit geometry, mode shape, damping, support coupling and exposure history.</t>
        </is>
      </c>
      <c r="E99" s="10" t="n">
        <v>26</v>
      </c>
      <c r="F99" s="10" t="inlineStr">
        <is>
          <t>Yes</t>
        </is>
      </c>
      <c r="G99" s="10" t="inlineStr">
        <is>
          <t>No</t>
        </is>
      </c>
      <c r="H99" s="10" t="n">
        <v>2</v>
      </c>
      <c r="I99" s="10" t="inlineStr"/>
      <c r="J99" s="10" t="inlineStr">
        <is>
          <t>Split or simplify</t>
        </is>
      </c>
      <c r="K99" s="10" t="inlineStr">
        <is>
          <t>Not reviewed</t>
        </is>
      </c>
      <c r="L99" s="10" t="inlineStr"/>
    </row>
    <row r="100">
      <c r="A100" s="10" t="inlineStr">
        <is>
          <t>3.2 Source settings do not define receiver exposure</t>
        </is>
      </c>
      <c r="B100" s="10" t="n">
        <v>51</v>
      </c>
      <c r="C100" s="10" t="n">
        <v>1</v>
      </c>
      <c r="D100" s="10" t="inlineStr">
        <is>
          <t>Wavelength and acoustic size help identify the dominant confounder:</t>
        </is>
      </c>
      <c r="E100" s="10" t="n">
        <v>9</v>
      </c>
      <c r="F100" s="10" t="inlineStr">
        <is>
          <t>No</t>
        </is>
      </c>
      <c r="G100" s="10" t="inlineStr">
        <is>
          <t>No</t>
        </is>
      </c>
      <c r="H100" s="10" t="n">
        <v>0</v>
      </c>
      <c r="I100" s="10" t="inlineStr"/>
      <c r="J100" s="10" t="inlineStr"/>
      <c r="K100" s="10" t="inlineStr">
        <is>
          <t>Not reviewed</t>
        </is>
      </c>
      <c r="L100" s="10" t="inlineStr"/>
    </row>
    <row r="101">
      <c r="A101" s="10" t="inlineStr">
        <is>
          <t>3.2 Source settings do not define receiver exposure</t>
        </is>
      </c>
      <c r="B101" s="10" t="n">
        <v>52</v>
      </c>
      <c r="C101" s="10" t="n">
        <v>1</v>
      </c>
      <c r="D101" s="10" t="inlineStr">
        <is>
          <t>Equation 4</t>
        </is>
      </c>
      <c r="E101" s="10" t="n">
        <v>2</v>
      </c>
      <c r="F101" s="10" t="inlineStr">
        <is>
          <t>No</t>
        </is>
      </c>
      <c r="G101" s="10" t="inlineStr">
        <is>
          <t>No</t>
        </is>
      </c>
      <c r="H101" s="10" t="n">
        <v>1</v>
      </c>
      <c r="I101" s="10" t="inlineStr"/>
      <c r="J101" s="10" t="inlineStr"/>
      <c r="K101" s="10" t="inlineStr">
        <is>
          <t>Not reviewed</t>
        </is>
      </c>
      <c r="L101" s="10" t="inlineStr"/>
    </row>
    <row r="102">
      <c r="A102" s="10" t="inlineStr">
        <is>
          <t>3.2 Source settings do not define receiver exposure</t>
        </is>
      </c>
      <c r="B102" s="10" t="n">
        <v>53</v>
      </c>
      <c r="C102" s="10" t="n">
        <v>1</v>
      </c>
      <c r="D102" s="10" t="inlineStr">
        <is>
          <t>Here, c is sound speed, f is frequency, a is a characteristic fruit radius and k = 2πf/c.</t>
        </is>
      </c>
      <c r="E102" s="10" t="n">
        <v>18</v>
      </c>
      <c r="F102" s="10" t="inlineStr">
        <is>
          <t>No</t>
        </is>
      </c>
      <c r="G102" s="10" t="inlineStr">
        <is>
          <t>Yes</t>
        </is>
      </c>
      <c r="H102" s="10" t="n">
        <v>0</v>
      </c>
      <c r="I102" s="10" t="inlineStr"/>
      <c r="J102" s="10" t="inlineStr">
        <is>
          <t>Consider active voice</t>
        </is>
      </c>
      <c r="K102" s="10" t="inlineStr">
        <is>
          <t>Not reviewed</t>
        </is>
      </c>
      <c r="L102" s="10" t="inlineStr"/>
    </row>
    <row r="103">
      <c r="A103" s="10" t="inlineStr">
        <is>
          <t>3.2 Source settings do not define receiver exposure</t>
        </is>
      </c>
      <c r="B103" s="10" t="n">
        <v>53</v>
      </c>
      <c r="C103" s="10" t="n">
        <v>2</v>
      </c>
      <c r="D103" s="10" t="inlineStr">
        <is>
          <t>In air near room conditions, wavelength is about 11.4 m at 30 Hz and 0.343 m at 1 kHz.</t>
        </is>
      </c>
      <c r="E103" s="10" t="n">
        <v>21</v>
      </c>
      <c r="F103" s="10" t="inlineStr">
        <is>
          <t>No</t>
        </is>
      </c>
      <c r="G103" s="10" t="inlineStr">
        <is>
          <t>No</t>
        </is>
      </c>
      <c r="H103" s="10" t="n">
        <v>0</v>
      </c>
      <c r="I103" s="10" t="inlineStr"/>
      <c r="J103" s="10" t="inlineStr"/>
      <c r="K103" s="10" t="inlineStr">
        <is>
          <t>Not reviewed</t>
        </is>
      </c>
      <c r="L103" s="10" t="inlineStr"/>
    </row>
    <row r="104">
      <c r="A104" s="10" t="inlineStr">
        <is>
          <t>3.2 Source settings do not define receiver exposure</t>
        </is>
      </c>
      <c r="B104" s="10" t="n">
        <v>53</v>
      </c>
      <c r="C104" s="10" t="n">
        <v>3</v>
      </c>
      <c r="D104" s="10" t="inlineStr">
        <is>
          <t>A one-metre chamber is deeply subwavelength at 30 Hz but can support several spatial modes near 1 kHz.</t>
        </is>
      </c>
      <c r="E104" s="10" t="n">
        <v>18</v>
      </c>
      <c r="F104" s="10" t="inlineStr">
        <is>
          <t>No</t>
        </is>
      </c>
      <c r="G104" s="10" t="inlineStr">
        <is>
          <t>No</t>
        </is>
      </c>
      <c r="H104" s="10" t="n">
        <v>2</v>
      </c>
      <c r="I104" s="10" t="inlineStr"/>
      <c r="J104" s="10" t="inlineStr"/>
      <c r="K104" s="10" t="inlineStr">
        <is>
          <t>Not reviewed</t>
        </is>
      </c>
      <c r="L104" s="10" t="inlineStr"/>
    </row>
    <row r="105">
      <c r="A105" s="10" t="inlineStr">
        <is>
          <t>3.2 Source settings do not define receiver exposure</t>
        </is>
      </c>
      <c r="B105" s="10" t="n">
        <v>53</v>
      </c>
      <c r="C105" s="10" t="n">
        <v>4</v>
      </c>
      <c r="D105" s="10" t="inlineStr">
        <is>
          <t>A one-point pressure reading cannot represent either case.</t>
        </is>
      </c>
      <c r="E105" s="10" t="n">
        <v>8</v>
      </c>
      <c r="F105" s="10" t="inlineStr">
        <is>
          <t>No</t>
        </is>
      </c>
      <c r="G105" s="10" t="inlineStr">
        <is>
          <t>No</t>
        </is>
      </c>
      <c r="H105" s="10" t="n">
        <v>0</v>
      </c>
      <c r="I105" s="10" t="inlineStr"/>
      <c r="J105" s="10" t="inlineStr"/>
      <c r="K105" s="10" t="inlineStr">
        <is>
          <t>Not reviewed</t>
        </is>
      </c>
      <c r="L105" s="10" t="inlineStr"/>
    </row>
    <row r="106">
      <c r="A106" s="10" t="inlineStr">
        <is>
          <t>3.2 Source settings do not define receiver exposure</t>
        </is>
      </c>
      <c r="B106" s="10" t="n">
        <v>53</v>
      </c>
      <c r="C106" s="10" t="n">
        <v>5</v>
      </c>
      <c r="D106" s="10" t="inlineStr">
        <is>
          <t>At low frequency, enclosure motion and loudspeaker reaction force become prominent; near 1 kHz, fruit positions can lie at different pressure maxima and minima.</t>
        </is>
      </c>
      <c r="E106" s="10" t="n">
        <v>24</v>
      </c>
      <c r="F106" s="10" t="inlineStr">
        <is>
          <t>No</t>
        </is>
      </c>
      <c r="G106" s="10" t="inlineStr">
        <is>
          <t>No</t>
        </is>
      </c>
      <c r="H106" s="10" t="n">
        <v>2</v>
      </c>
      <c r="I106" s="10" t="inlineStr"/>
      <c r="J106" s="10" t="inlineStr"/>
      <c r="K106" s="10" t="inlineStr">
        <is>
          <t>Not reviewed</t>
        </is>
      </c>
      <c r="L106" s="10" t="inlineStr"/>
    </row>
    <row r="107">
      <c r="A107" s="10" t="inlineStr">
        <is>
          <t>3.2 Source settings do not define receiver exposure</t>
        </is>
      </c>
      <c r="B107" s="10" t="n">
        <v>54</v>
      </c>
      <c r="C107" s="10" t="n">
        <v>1</v>
      </c>
      <c r="D107" s="10" t="inlineStr">
        <is>
          <t>For a fruit radius of 40 mm, ka is approximately 0.02 at 30 Hz and 0.73 at 1 kHz.</t>
        </is>
      </c>
      <c r="E107" s="10" t="n">
        <v>21</v>
      </c>
      <c r="F107" s="10" t="inlineStr">
        <is>
          <t>No</t>
        </is>
      </c>
      <c r="G107" s="10" t="inlineStr">
        <is>
          <t>No</t>
        </is>
      </c>
      <c r="H107" s="10" t="n">
        <v>0</v>
      </c>
      <c r="I107" s="10" t="inlineStr"/>
      <c r="J107" s="10" t="inlineStr"/>
      <c r="K107" s="10" t="inlineStr">
        <is>
          <t>Not reviewed</t>
        </is>
      </c>
      <c r="L107" s="10" t="inlineStr"/>
    </row>
    <row r="108">
      <c r="A108" s="10" t="inlineStr">
        <is>
          <t>3.2 Source settings do not define receiver exposure</t>
        </is>
      </c>
      <c r="B108" s="10" t="n">
        <v>54</v>
      </c>
      <c r="C108" s="10" t="n">
        <v>2</v>
      </c>
      <c r="D108" s="10" t="inlineStr">
        <is>
          <t>When ka ≪ 1, the external pressure varies little across the fruit, so support translation can dominate over pressure-gradient bending.</t>
        </is>
      </c>
      <c r="E108" s="10" t="n">
        <v>19</v>
      </c>
      <c r="F108" s="10" t="inlineStr">
        <is>
          <t>No</t>
        </is>
      </c>
      <c r="G108" s="10" t="inlineStr">
        <is>
          <t>No</t>
        </is>
      </c>
      <c r="H108" s="10" t="n">
        <v>2</v>
      </c>
      <c r="I108" s="10" t="inlineStr"/>
      <c r="J108" s="10" t="inlineStr"/>
      <c r="K108" s="10" t="inlineStr">
        <is>
          <t>Not reviewed</t>
        </is>
      </c>
      <c r="L108" s="10" t="inlineStr"/>
    </row>
    <row r="109">
      <c r="A109" s="10" t="inlineStr">
        <is>
          <t>3.2 Source settings do not define receiver exposure</t>
        </is>
      </c>
      <c r="B109" s="10" t="n">
        <v>54</v>
      </c>
      <c r="C109" s="10" t="n">
        <v>3</v>
      </c>
      <c r="D109" s="10" t="inlineStr">
        <is>
          <t>These arguments do not prove support dominance.</t>
        </is>
      </c>
      <c r="E109" s="10" t="n">
        <v>7</v>
      </c>
      <c r="F109" s="10" t="inlineStr">
        <is>
          <t>No</t>
        </is>
      </c>
      <c r="G109" s="10" t="inlineStr">
        <is>
          <t>No</t>
        </is>
      </c>
      <c r="H109" s="10" t="n">
        <v>1</v>
      </c>
      <c r="I109" s="10" t="inlineStr"/>
      <c r="J109" s="10" t="inlineStr"/>
      <c r="K109" s="10" t="inlineStr">
        <is>
          <t>Not reviewed</t>
        </is>
      </c>
      <c r="L109" s="10" t="inlineStr"/>
    </row>
    <row r="110">
      <c r="A110" s="10" t="inlineStr">
        <is>
          <t>3.2 Source settings do not define receiver exposure</t>
        </is>
      </c>
      <c r="B110" s="10" t="n">
        <v>54</v>
      </c>
      <c r="C110" s="10" t="n">
        <v>4</v>
      </c>
      <c r="D110" s="10" t="inlineStr">
        <is>
          <t>They identify the first control: measure triaxial shelf acceleration under a mechanically isolated loudspeaker condition and a support-only shaker condition.</t>
        </is>
      </c>
      <c r="E110" s="10" t="n">
        <v>20</v>
      </c>
      <c r="F110" s="10" t="inlineStr">
        <is>
          <t>No</t>
        </is>
      </c>
      <c r="G110" s="10" t="inlineStr">
        <is>
          <t>No</t>
        </is>
      </c>
      <c r="H110" s="10" t="n">
        <v>4</v>
      </c>
      <c r="I110" s="10" t="inlineStr"/>
      <c r="J110" s="10" t="inlineStr">
        <is>
          <t>Replace noun-heavy phrasing</t>
        </is>
      </c>
      <c r="K110" s="10" t="inlineStr">
        <is>
          <t>Not reviewed</t>
        </is>
      </c>
      <c r="L110" s="10" t="inlineStr"/>
    </row>
    <row r="111">
      <c r="A111" s="10" t="inlineStr">
        <is>
          <t>3.2 Source settings do not define receiver exposure</t>
        </is>
      </c>
      <c r="B111" s="10" t="n">
        <v>55</v>
      </c>
      <c r="C111" s="10" t="n">
        <v>1</v>
      </c>
      <c r="D111" s="10" t="inlineStr">
        <is>
          <t>A simple illustration shows why nominal level is insufficient.</t>
        </is>
      </c>
      <c r="E111" s="10" t="n">
        <v>9</v>
      </c>
      <c r="F111" s="10" t="inlineStr">
        <is>
          <t>No</t>
        </is>
      </c>
      <c r="G111" s="10" t="inlineStr">
        <is>
          <t>No</t>
        </is>
      </c>
      <c r="H111" s="10" t="n">
        <v>2</v>
      </c>
      <c r="I111" s="10" t="inlineStr"/>
      <c r="J111" s="10" t="inlineStr"/>
      <c r="K111" s="10" t="inlineStr">
        <is>
          <t>Not reviewed</t>
        </is>
      </c>
      <c r="L111" s="10" t="inlineStr"/>
    </row>
    <row r="112">
      <c r="A112" s="10" t="inlineStr">
        <is>
          <t>3.2 Source settings do not define receiver exposure</t>
        </is>
      </c>
      <c r="B112" s="10" t="n">
        <v>55</v>
      </c>
      <c r="C112" s="10" t="n">
        <v>2</v>
      </c>
      <c r="D112" s="10" t="inlineStr">
        <is>
          <t>If a loaded chamber varies by ±3 dB across fruit positions, the quietest-to-loudest difference represents a fourfold incident-intensity range.</t>
        </is>
      </c>
      <c r="E112" s="10" t="n">
        <v>19</v>
      </c>
      <c r="F112" s="10" t="inlineStr">
        <is>
          <t>No</t>
        </is>
      </c>
      <c r="G112" s="10" t="inlineStr">
        <is>
          <t>No</t>
        </is>
      </c>
      <c r="H112" s="10" t="n">
        <v>2</v>
      </c>
      <c r="I112" s="10" t="inlineStr"/>
      <c r="J112" s="10" t="inlineStr"/>
      <c r="K112" s="10" t="inlineStr">
        <is>
          <t>Not reviewed</t>
        </is>
      </c>
      <c r="L112" s="10" t="inlineStr"/>
    </row>
    <row r="113">
      <c r="A113" s="10" t="inlineStr">
        <is>
          <t>3.2 Source settings do not define receiver exposure</t>
        </is>
      </c>
      <c r="B113" s="10" t="n">
        <v>55</v>
      </c>
      <c r="C113" s="10" t="n">
        <v>3</v>
      </c>
      <c r="D113" s="10" t="inlineStr">
        <is>
          <t>If fruit state and contact conditions create a further fivefold transmission range, receiver power could span roughly twentyfold under one treatment label.</t>
        </is>
      </c>
      <c r="E113" s="10" t="n">
        <v>22</v>
      </c>
      <c r="F113" s="10" t="inlineStr">
        <is>
          <t>No</t>
        </is>
      </c>
      <c r="G113" s="10" t="inlineStr">
        <is>
          <t>No</t>
        </is>
      </c>
      <c r="H113" s="10" t="n">
        <v>2</v>
      </c>
      <c r="I113" s="10" t="inlineStr"/>
      <c r="J113" s="10" t="inlineStr"/>
      <c r="K113" s="10" t="inlineStr">
        <is>
          <t>Not reviewed</t>
        </is>
      </c>
      <c r="L113" s="10" t="inlineStr"/>
    </row>
    <row r="114">
      <c r="A114" s="10" t="inlineStr">
        <is>
          <t>3.2 Source settings do not define receiver exposure</t>
        </is>
      </c>
      <c r="B114" s="10" t="n">
        <v>55</v>
      </c>
      <c r="C114" s="10" t="n">
        <v>4</v>
      </c>
      <c r="D114" s="10" t="inlineStr">
        <is>
          <t>This calculation is illustrative, not a literature estimate; it defines what an experiment must measure.</t>
        </is>
      </c>
      <c r="E114" s="10" t="n">
        <v>15</v>
      </c>
      <c r="F114" s="10" t="inlineStr">
        <is>
          <t>No</t>
        </is>
      </c>
      <c r="G114" s="10" t="inlineStr">
        <is>
          <t>No</t>
        </is>
      </c>
      <c r="H114" s="10" t="n">
        <v>2</v>
      </c>
      <c r="I114" s="10" t="inlineStr"/>
      <c r="J114" s="10" t="inlineStr"/>
      <c r="K114" s="10" t="inlineStr">
        <is>
          <t>Not reviewed</t>
        </is>
      </c>
      <c r="L114" s="10" t="inlineStr"/>
    </row>
    <row r="115">
      <c r="A115" s="10" t="inlineStr">
        <is>
          <t>3.3 Fruit is an evolving receiver</t>
        </is>
      </c>
      <c r="B115" s="10" t="n">
        <v>57</v>
      </c>
      <c r="C115" s="10" t="n">
        <v>1</v>
      </c>
      <c r="D115" s="10" t="inlineStr">
        <is>
          <t>A living receiver cannot be described reliably by one universal acoustic dose.</t>
        </is>
      </c>
      <c r="E115" s="10" t="n">
        <v>12</v>
      </c>
      <c r="F115" s="10" t="inlineStr">
        <is>
          <t>No</t>
        </is>
      </c>
      <c r="G115" s="10" t="inlineStr">
        <is>
          <t>Yes</t>
        </is>
      </c>
      <c r="H115" s="10" t="n">
        <v>1</v>
      </c>
      <c r="I115" s="10" t="inlineStr"/>
      <c r="J115" s="10" t="inlineStr">
        <is>
          <t>Consider active voice</t>
        </is>
      </c>
      <c r="K115" s="10" t="inlineStr">
        <is>
          <t>Not reviewed</t>
        </is>
      </c>
      <c r="L115" s="10" t="inlineStr"/>
    </row>
    <row r="116">
      <c r="A116" s="10" t="inlineStr">
        <is>
          <t>3.3 Fruit is an evolving receiver</t>
        </is>
      </c>
      <c r="B116" s="10" t="n">
        <v>57</v>
      </c>
      <c r="C116" s="10" t="n">
        <v>2</v>
      </c>
      <c r="D116" s="10" t="inlineStr">
        <is>
          <t>Peak strain may control channel activation, strain rate may control a rapid response, cycle count may govern fatigue, and recovery interval may determine adaptation.</t>
        </is>
      </c>
      <c r="E116" s="10" t="n">
        <v>24</v>
      </c>
      <c r="F116" s="10" t="inlineStr">
        <is>
          <t>No</t>
        </is>
      </c>
      <c r="G116" s="10" t="inlineStr">
        <is>
          <t>No</t>
        </is>
      </c>
      <c r="H116" s="10" t="n">
        <v>3</v>
      </c>
      <c r="I116" s="10" t="inlineStr"/>
      <c r="J116" s="10" t="inlineStr">
        <is>
          <t>Replace noun-heavy phrasing</t>
        </is>
      </c>
      <c r="K116" s="10" t="inlineStr">
        <is>
          <t>Not reviewed</t>
        </is>
      </c>
      <c r="L116" s="10" t="inlineStr"/>
    </row>
    <row r="117">
      <c r="A117" s="10" t="inlineStr">
        <is>
          <t>3.3 Fruit is an evolving receiver</t>
        </is>
      </c>
      <c r="B117" s="10" t="n">
        <v>57</v>
      </c>
      <c r="C117" s="10" t="n">
        <v>3</v>
      </c>
      <c r="D117" s="10" t="inlineStr">
        <is>
          <t>The minimum receiver description is therefore a mechanism-specific vector:</t>
        </is>
      </c>
      <c r="E117" s="10" t="n">
        <v>9</v>
      </c>
      <c r="F117" s="10" t="inlineStr">
        <is>
          <t>No</t>
        </is>
      </c>
      <c r="G117" s="10" t="inlineStr">
        <is>
          <t>No</t>
        </is>
      </c>
      <c r="H117" s="10" t="n">
        <v>1</v>
      </c>
      <c r="I117" s="10" t="inlineStr"/>
      <c r="J117" s="10" t="inlineStr"/>
      <c r="K117" s="10" t="inlineStr">
        <is>
          <t>Not reviewed</t>
        </is>
      </c>
      <c r="L117" s="10" t="inlineStr"/>
    </row>
    <row r="118">
      <c r="A118" s="10" t="inlineStr">
        <is>
          <t>3.3 Fruit is an evolving receiver</t>
        </is>
      </c>
      <c r="B118" s="10" t="n">
        <v>58</v>
      </c>
      <c r="C118" s="10" t="n">
        <v>1</v>
      </c>
      <c r="D118" s="10" t="inlineStr">
        <is>
          <t>Equation 5</t>
        </is>
      </c>
      <c r="E118" s="10" t="n">
        <v>2</v>
      </c>
      <c r="F118" s="10" t="inlineStr">
        <is>
          <t>No</t>
        </is>
      </c>
      <c r="G118" s="10" t="inlineStr">
        <is>
          <t>No</t>
        </is>
      </c>
      <c r="H118" s="10" t="n">
        <v>1</v>
      </c>
      <c r="I118" s="10" t="inlineStr"/>
      <c r="J118" s="10" t="inlineStr"/>
      <c r="K118" s="10" t="inlineStr">
        <is>
          <t>Not reviewed</t>
        </is>
      </c>
      <c r="L118" s="10" t="inlineStr"/>
    </row>
    <row r="119">
      <c r="A119" s="10" t="inlineStr">
        <is>
          <t>3.3 Fruit is an evolving receiver</t>
        </is>
      </c>
      <c r="B119" s="10" t="n">
        <v>59</v>
      </c>
      <c r="C119" s="10" t="n">
        <v>1</v>
      </c>
      <c r="D119" s="10" t="inlineStr">
        <is>
          <t>The components denote peak displacement, root-mean-square velocity and acceleration, peak equivalent strain and strain rate, driven cycle count, duty cycle, recovery interval, temperature and spatial heterogeneity.</t>
        </is>
      </c>
      <c r="E119" s="10" t="n">
        <v>26</v>
      </c>
      <c r="F119" s="10" t="inlineStr">
        <is>
          <t>Yes</t>
        </is>
      </c>
      <c r="G119" s="10" t="inlineStr">
        <is>
          <t>No</t>
        </is>
      </c>
      <c r="H119" s="10" t="n">
        <v>5</v>
      </c>
      <c r="I119" s="10" t="inlineStr"/>
      <c r="J119" s="10" t="inlineStr">
        <is>
          <t>Split or simplify; Replace noun-heavy phrasing</t>
        </is>
      </c>
      <c r="K119" s="10" t="inlineStr">
        <is>
          <t>Not reviewed</t>
        </is>
      </c>
      <c r="L119" s="10" t="inlineStr"/>
    </row>
    <row r="120">
      <c r="A120" s="10" t="inlineStr">
        <is>
          <t>3.3 Fruit is an evolving receiver</t>
        </is>
      </c>
      <c r="B120" s="10" t="n">
        <v>59</v>
      </c>
      <c r="C120" s="10" t="n">
        <v>2</v>
      </c>
      <c r="D120" s="10" t="inlineStr">
        <is>
          <t>The vector may be reduced after a predictor survives validation; it should not be collapsed in advance.</t>
        </is>
      </c>
      <c r="E120" s="10" t="n">
        <v>17</v>
      </c>
      <c r="F120" s="10" t="inlineStr">
        <is>
          <t>No</t>
        </is>
      </c>
      <c r="G120" s="10" t="inlineStr">
        <is>
          <t>Yes</t>
        </is>
      </c>
      <c r="H120" s="10" t="n">
        <v>2</v>
      </c>
      <c r="I120" s="10" t="inlineStr"/>
      <c r="J120" s="10" t="inlineStr">
        <is>
          <t>Consider active voice</t>
        </is>
      </c>
      <c r="K120" s="10" t="inlineStr">
        <is>
          <t>Not reviewed</t>
        </is>
      </c>
      <c r="L120" s="10" t="inlineStr"/>
    </row>
    <row r="121">
      <c r="A121" s="10" t="inlineStr">
        <is>
          <t>3.3 Fruit is an evolving receiver</t>
        </is>
      </c>
      <c r="B121" s="10" t="n">
        <v>60</v>
      </c>
      <c r="C121" s="10" t="n">
        <v>1</v>
      </c>
      <c r="D121" s="10" t="inlineStr">
        <is>
          <t>Fruit resonance is a transfer function, not a commodity constant.</t>
        </is>
      </c>
      <c r="E121" s="10" t="n">
        <v>10</v>
      </c>
      <c r="F121" s="10" t="inlineStr">
        <is>
          <t>No</t>
        </is>
      </c>
      <c r="G121" s="10" t="inlineStr">
        <is>
          <t>No</t>
        </is>
      </c>
      <c r="H121" s="10" t="n">
        <v>3</v>
      </c>
      <c r="I121" s="10" t="inlineStr"/>
      <c r="J121" s="10" t="inlineStr">
        <is>
          <t>Replace noun-heavy phrasing</t>
        </is>
      </c>
      <c r="K121" s="10" t="inlineStr">
        <is>
          <t>Not reviewed</t>
        </is>
      </c>
      <c r="L121" s="10" t="inlineStr"/>
    </row>
    <row r="122">
      <c r="A122" s="10" t="inlineStr">
        <is>
          <t>3.3 Fruit is an evolving receiver</t>
        </is>
      </c>
      <c r="B122" s="10" t="n">
        <v>60</v>
      </c>
      <c r="C122" s="10" t="n">
        <v>2</v>
      </c>
      <c r="D122" s="10" t="inlineStr">
        <is>
          <t>Mass, stiffness and damping depend on geometry, peel and flesh properties, turgor, water status, temperature, support and ripening state.</t>
        </is>
      </c>
      <c r="E122" s="10" t="n">
        <v>19</v>
      </c>
      <c r="F122" s="10" t="inlineStr">
        <is>
          <t>No</t>
        </is>
      </c>
      <c r="G122" s="10" t="inlineStr">
        <is>
          <t>No</t>
        </is>
      </c>
      <c r="H122" s="10" t="n">
        <v>0</v>
      </c>
      <c r="I122" s="10" t="inlineStr"/>
      <c r="J122" s="10" t="inlineStr"/>
      <c r="K122" s="10" t="inlineStr">
        <is>
          <t>Not reviewed</t>
        </is>
      </c>
      <c r="L122" s="10" t="inlineStr"/>
    </row>
    <row r="123">
      <c r="A123" s="10" t="inlineStr">
        <is>
          <t>3.3 Fruit is an evolving receiver</t>
        </is>
      </c>
      <c r="B123" s="10" t="n">
        <v>60</v>
      </c>
      <c r="C123" s="10" t="n">
        <v>3</v>
      </c>
      <c r="D123" s="10" t="inlineStr">
        <is>
          <t>Multiple modes coexist, and a sensor or actuator can lie near a node for one mode and an antinode for another.</t>
        </is>
      </c>
      <c r="E123" s="10" t="n">
        <v>21</v>
      </c>
      <c r="F123" s="10" t="inlineStr">
        <is>
          <t>No</t>
        </is>
      </c>
      <c r="G123" s="10" t="inlineStr">
        <is>
          <t>No</t>
        </is>
      </c>
      <c r="H123" s="10" t="n">
        <v>0</v>
      </c>
      <c r="I123" s="10" t="inlineStr"/>
      <c r="J123" s="10" t="inlineStr"/>
      <c r="K123" s="10" t="inlineStr">
        <is>
          <t>Not reviewed</t>
        </is>
      </c>
      <c r="L123" s="10" t="inlineStr"/>
    </row>
    <row r="124">
      <c r="A124" s="10" t="inlineStr">
        <is>
          <t>3.3 Fruit is an evolving receiver</t>
        </is>
      </c>
      <c r="B124" s="10" t="n">
        <v>60</v>
      </c>
      <c r="C124" s="10" t="n">
        <v>4</v>
      </c>
      <c r="D124" s="10" t="inlineStr">
        <is>
          <t>Finite-element, impulse-response and laser-vibrometry studies in apple, melon, avocado, watermelon, tomato and peach show that modal features can track texture or maturity [14–25].</t>
        </is>
      </c>
      <c r="E124" s="10" t="n">
        <v>24</v>
      </c>
      <c r="F124" s="10" t="inlineStr">
        <is>
          <t>No</t>
        </is>
      </c>
      <c r="G124" s="10" t="inlineStr">
        <is>
          <t>No</t>
        </is>
      </c>
      <c r="H124" s="10" t="n">
        <v>2</v>
      </c>
      <c r="I124" s="10" t="inlineStr"/>
      <c r="J124" s="10" t="inlineStr"/>
      <c r="K124" s="10" t="inlineStr">
        <is>
          <t>Not reviewed</t>
        </is>
      </c>
      <c r="L124" s="10" t="inlineStr"/>
    </row>
    <row r="125">
      <c r="A125" s="10" t="inlineStr">
        <is>
          <t>3.3 Fruit is an evolving receiver</t>
        </is>
      </c>
      <c r="B125" s="10" t="n">
        <v>60</v>
      </c>
      <c r="C125" s="10" t="n">
        <v>5</v>
      </c>
      <c r="D125" s="10" t="inlineStr">
        <is>
          <t>That evidence supports sensing; it does not show that driving a measured mode improves quality.</t>
        </is>
      </c>
      <c r="E125" s="10" t="n">
        <v>15</v>
      </c>
      <c r="F125" s="10" t="inlineStr">
        <is>
          <t>No</t>
        </is>
      </c>
      <c r="G125" s="10" t="inlineStr">
        <is>
          <t>No</t>
        </is>
      </c>
      <c r="H125" s="10" t="n">
        <v>1</v>
      </c>
      <c r="I125" s="10" t="inlineStr"/>
      <c r="J125" s="10" t="inlineStr"/>
      <c r="K125" s="10" t="inlineStr">
        <is>
          <t>Not reviewed</t>
        </is>
      </c>
      <c r="L125" s="10" t="inlineStr"/>
    </row>
    <row r="126">
      <c r="A126" s="10" t="inlineStr">
        <is>
          <t>3.3 Fruit is an evolving receiver</t>
        </is>
      </c>
      <c r="B126" s="10" t="n">
        <v>61</v>
      </c>
      <c r="C126" s="10" t="n">
        <v>1</v>
      </c>
      <c r="D126" s="10" t="inlineStr">
        <is>
          <t>Soft berries define a boundary.</t>
        </is>
      </c>
      <c r="E126" s="10" t="n">
        <v>5</v>
      </c>
      <c r="F126" s="10" t="inlineStr">
        <is>
          <t>No</t>
        </is>
      </c>
      <c r="G126" s="10" t="inlineStr">
        <is>
          <t>No</t>
        </is>
      </c>
      <c r="H126" s="10" t="n">
        <v>0</v>
      </c>
      <c r="I126" s="10" t="inlineStr"/>
      <c r="J126" s="10" t="inlineStr"/>
      <c r="K126" s="10" t="inlineStr">
        <is>
          <t>Not reviewed</t>
        </is>
      </c>
      <c r="L126" s="10" t="inlineStr"/>
    </row>
    <row r="127">
      <c r="A127" s="10" t="inlineStr">
        <is>
          <t>3.3 Fruit is an evolving receiver</t>
        </is>
      </c>
      <c r="B127" s="10" t="n">
        <v>61</v>
      </c>
      <c r="C127" s="10" t="n">
        <v>2</v>
      </c>
      <c r="D127" s="10" t="inlineStr">
        <is>
          <t>A highly damped fruit may show a broad response without a stable sharp peak.</t>
        </is>
      </c>
      <c r="E127" s="10" t="n">
        <v>14</v>
      </c>
      <c r="F127" s="10" t="inlineStr">
        <is>
          <t>No</t>
        </is>
      </c>
      <c r="G127" s="10" t="inlineStr">
        <is>
          <t>No</t>
        </is>
      </c>
      <c r="H127" s="10" t="n">
        <v>0</v>
      </c>
      <c r="I127" s="10" t="inlineStr"/>
      <c r="J127" s="10" t="inlineStr"/>
      <c r="K127" s="10" t="inlineStr">
        <is>
          <t>Not reviewed</t>
        </is>
      </c>
      <c r="L127" s="10" t="inlineStr"/>
    </row>
    <row r="128">
      <c r="A128" s="10" t="inlineStr">
        <is>
          <t>3.3 Fruit is an evolving receiver</t>
        </is>
      </c>
      <c r="B128" s="10" t="n">
        <v>61</v>
      </c>
      <c r="C128" s="10" t="n">
        <v>3</v>
      </c>
      <c r="D128" s="10" t="inlineStr">
        <is>
          <t>The receiver-centred framework still applies, but the state variable should shift from a single resonance frequency to broadband compliance, impulse-response energy, damping bandwidth or a spatial motion field.</t>
        </is>
      </c>
      <c r="E128" s="10" t="n">
        <v>28</v>
      </c>
      <c r="F128" s="10" t="inlineStr">
        <is>
          <t>Yes</t>
        </is>
      </c>
      <c r="G128" s="10" t="inlineStr">
        <is>
          <t>No</t>
        </is>
      </c>
      <c r="H128" s="10" t="n">
        <v>4</v>
      </c>
      <c r="I128" s="10" t="inlineStr"/>
      <c r="J128" s="10" t="inlineStr">
        <is>
          <t>Split or simplify; Replace noun-heavy phrasing</t>
        </is>
      </c>
      <c r="K128" s="10" t="inlineStr">
        <is>
          <t>Not reviewed</t>
        </is>
      </c>
      <c r="L128" s="10" t="inlineStr"/>
    </row>
    <row r="129">
      <c r="A129" s="10" t="inlineStr">
        <is>
          <t>3.3 Fruit is an evolving receiver</t>
        </is>
      </c>
      <c r="B129" s="10" t="n">
        <v>61</v>
      </c>
      <c r="C129" s="10" t="n">
        <v>4</v>
      </c>
      <c r="D129" s="10" t="inlineStr">
        <is>
          <t>Failure to detect a sharp mode shows that narrowband tracking is the wrong estimator for that commodity, not that receiver measurement is unnecessary.</t>
        </is>
      </c>
      <c r="E129" s="10" t="n">
        <v>23</v>
      </c>
      <c r="F129" s="10" t="inlineStr">
        <is>
          <t>No</t>
        </is>
      </c>
      <c r="G129" s="10" t="inlineStr">
        <is>
          <t>No</t>
        </is>
      </c>
      <c r="H129" s="10" t="n">
        <v>2</v>
      </c>
      <c r="I129" s="10" t="inlineStr"/>
      <c r="J129" s="10" t="inlineStr"/>
      <c r="K129" s="10" t="inlineStr">
        <is>
          <t>Not reviewed</t>
        </is>
      </c>
      <c r="L129" s="10" t="inlineStr"/>
    </row>
    <row r="130">
      <c r="A130" s="10" t="inlineStr">
        <is>
          <t>3.3 Fruit is an evolving receiver</t>
        </is>
      </c>
      <c r="B130" s="10" t="n">
        <v>62</v>
      </c>
      <c r="C130" s="10" t="n">
        <v>1</v>
      </c>
      <c r="D130" s="10" t="inlineStr">
        <is>
          <t>Surface laser Doppler vibrometry measures surface velocity, not internal strain.</t>
        </is>
      </c>
      <c r="E130" s="10" t="n">
        <v>10</v>
      </c>
      <c r="F130" s="10" t="inlineStr">
        <is>
          <t>No</t>
        </is>
      </c>
      <c r="G130" s="10" t="inlineStr">
        <is>
          <t>No</t>
        </is>
      </c>
      <c r="H130" s="10" t="n">
        <v>1</v>
      </c>
      <c r="I130" s="10" t="inlineStr"/>
      <c r="J130" s="10" t="inlineStr"/>
      <c r="K130" s="10" t="inlineStr">
        <is>
          <t>Not reviewed</t>
        </is>
      </c>
      <c r="L130" s="10" t="inlineStr"/>
    </row>
    <row r="131">
      <c r="A131" s="10" t="inlineStr">
        <is>
          <t>3.3 Fruit is an evolving receiver</t>
        </is>
      </c>
      <c r="B131" s="10" t="n">
        <v>62</v>
      </c>
      <c r="C131" s="10" t="n">
        <v>2</v>
      </c>
      <c r="D131" s="10" t="inlineStr">
        <is>
          <t>Converting surface motion to tissue deformation is an inverse problem that requires a validated mechanical model, material properties, boundary conditions and uncertainty propagation.</t>
        </is>
      </c>
      <c r="E131" s="10" t="n">
        <v>23</v>
      </c>
      <c r="F131" s="10" t="inlineStr">
        <is>
          <t>No</t>
        </is>
      </c>
      <c r="G131" s="10" t="inlineStr">
        <is>
          <t>No</t>
        </is>
      </c>
      <c r="H131" s="10" t="n">
        <v>5</v>
      </c>
      <c r="I131" s="10" t="inlineStr"/>
      <c r="J131" s="10" t="inlineStr">
        <is>
          <t>Replace noun-heavy phrasing</t>
        </is>
      </c>
      <c r="K131" s="10" t="inlineStr">
        <is>
          <t>Not reviewed</t>
        </is>
      </c>
      <c r="L131" s="10" t="inlineStr"/>
    </row>
    <row r="132">
      <c r="A132" s="10" t="inlineStr">
        <is>
          <t>3.3 Fruit is an evolving receiver</t>
        </is>
      </c>
      <c r="B132" s="10" t="n">
        <v>62</v>
      </c>
      <c r="C132" s="10" t="n">
        <v>3</v>
      </c>
      <c r="D132" s="10" t="inlineStr">
        <is>
          <t>A manuscript should report “measured surface velocity” and “model-estimated strain” unless independent measurements validate internal deformation.</t>
        </is>
      </c>
      <c r="E132" s="10" t="n">
        <v>16</v>
      </c>
      <c r="F132" s="10" t="inlineStr">
        <is>
          <t>No</t>
        </is>
      </c>
      <c r="G132" s="10" t="inlineStr">
        <is>
          <t>No</t>
        </is>
      </c>
      <c r="H132" s="10" t="n">
        <v>2</v>
      </c>
      <c r="I132" s="10" t="inlineStr"/>
      <c r="J132" s="10" t="inlineStr"/>
      <c r="K132" s="10" t="inlineStr">
        <is>
          <t>Not reviewed</t>
        </is>
      </c>
      <c r="L132" s="10" t="inlineStr"/>
    </row>
    <row r="133">
      <c r="A133" s="10" t="inlineStr">
        <is>
          <t>3.4 Per-fruit and sentinel state estimation</t>
        </is>
      </c>
      <c r="B133" s="10" t="n">
        <v>64</v>
      </c>
      <c r="C133" s="10" t="n">
        <v>1</v>
      </c>
      <c r="D133" s="10" t="inlineStr">
        <is>
          <t>Per-fruit state estimation is credible on a sorter, where each fruit can be excited and observed in a controlled geometry.</t>
        </is>
      </c>
      <c r="E133" s="10" t="n">
        <v>20</v>
      </c>
      <c r="F133" s="10" t="inlineStr">
        <is>
          <t>No</t>
        </is>
      </c>
      <c r="G133" s="10" t="inlineStr">
        <is>
          <t>Yes</t>
        </is>
      </c>
      <c r="H133" s="10" t="n">
        <v>1</v>
      </c>
      <c r="I133" s="10" t="inlineStr"/>
      <c r="J133" s="10" t="inlineStr">
        <is>
          <t>Consider active voice</t>
        </is>
      </c>
      <c r="K133" s="10" t="inlineStr">
        <is>
          <t>Not reviewed</t>
        </is>
      </c>
      <c r="L133" s="10" t="inlineStr"/>
    </row>
    <row r="134">
      <c r="A134" s="10" t="inlineStr">
        <is>
          <t>3.4 Per-fruit and sentinel state estimation</t>
        </is>
      </c>
      <c r="B134" s="10" t="n">
        <v>64</v>
      </c>
      <c r="C134" s="10" t="n">
        <v>2</v>
      </c>
      <c r="D134" s="10" t="inlineStr">
        <is>
          <t>It has not been demonstrated for every fruit in a densely loaded treatment chamber.</t>
        </is>
      </c>
      <c r="E134" s="10" t="n">
        <v>14</v>
      </c>
      <c r="F134" s="10" t="inlineStr">
        <is>
          <t>No</t>
        </is>
      </c>
      <c r="G134" s="10" t="inlineStr">
        <is>
          <t>Yes</t>
        </is>
      </c>
      <c r="H134" s="10" t="n">
        <v>1</v>
      </c>
      <c r="I134" s="10" t="inlineStr"/>
      <c r="J134" s="10" t="inlineStr">
        <is>
          <t>Consider active voice</t>
        </is>
      </c>
      <c r="K134" s="10" t="inlineStr">
        <is>
          <t>Not reviewed</t>
        </is>
      </c>
      <c r="L134" s="10" t="inlineStr"/>
    </row>
    <row r="135">
      <c r="A135" s="10" t="inlineStr">
        <is>
          <t>3.4 Per-fruit and sentinel state estimation</t>
        </is>
      </c>
      <c r="B135" s="10" t="n">
        <v>64</v>
      </c>
      <c r="C135" s="10" t="n">
        <v>3</v>
      </c>
      <c r="D135" s="10" t="inlineStr">
        <is>
          <t>Occlusion, changing contacts, orientation and throughput make full individual instrumentation unrealistic at first.</t>
        </is>
      </c>
      <c r="E135" s="10" t="n">
        <v>13</v>
      </c>
      <c r="F135" s="10" t="inlineStr">
        <is>
          <t>No</t>
        </is>
      </c>
      <c r="G135" s="10" t="inlineStr">
        <is>
          <t>No</t>
        </is>
      </c>
      <c r="H135" s="10" t="n">
        <v>4</v>
      </c>
      <c r="I135" s="10" t="inlineStr"/>
      <c r="J135" s="10" t="inlineStr">
        <is>
          <t>Replace noun-heavy phrasing</t>
        </is>
      </c>
      <c r="K135" s="10" t="inlineStr">
        <is>
          <t>Not reviewed</t>
        </is>
      </c>
      <c r="L135" s="10" t="inlineStr"/>
    </row>
    <row r="136">
      <c r="A136" s="10" t="inlineStr">
        <is>
          <t>3.4 Per-fruit and sentinel state estimation</t>
        </is>
      </c>
      <c r="B136" s="10" t="n">
        <v>64</v>
      </c>
      <c r="C136" s="10" t="n">
        <v>4</v>
      </c>
      <c r="D136" s="10" t="inlineStr">
        <is>
          <t>A practical hierarchy uses a small set of instrumented sentinel fruit to estimate the loaded transfer function and rapid pretreatment sensing to estimate the batch distribution of mass, size, temperature and mechanical state.</t>
        </is>
      </c>
      <c r="E136" s="10" t="n">
        <v>33</v>
      </c>
      <c r="F136" s="10" t="inlineStr">
        <is>
          <t>Yes</t>
        </is>
      </c>
      <c r="G136" s="10" t="inlineStr">
        <is>
          <t>No</t>
        </is>
      </c>
      <c r="H136" s="10" t="n">
        <v>5</v>
      </c>
      <c r="I136" s="10" t="inlineStr"/>
      <c r="J136" s="10" t="inlineStr">
        <is>
          <t>Split or simplify; Replace noun-heavy phrasing</t>
        </is>
      </c>
      <c r="K136" s="10" t="inlineStr">
        <is>
          <t>Not reviewed</t>
        </is>
      </c>
      <c r="L136" s="10" t="inlineStr"/>
    </row>
    <row r="137">
      <c r="A137" s="10" t="inlineStr">
        <is>
          <t>3.4 Per-fruit and sentinel state estimation</t>
        </is>
      </c>
      <c r="B137" s="10" t="n">
        <v>64</v>
      </c>
      <c r="C137" s="10" t="n">
        <v>5</v>
      </c>
      <c r="D137" s="10" t="inlineStr">
        <is>
          <t>Uncertainty must widen when the load leaves commissioned conditions.</t>
        </is>
      </c>
      <c r="E137" s="10" t="n">
        <v>9</v>
      </c>
      <c r="F137" s="10" t="inlineStr">
        <is>
          <t>No</t>
        </is>
      </c>
      <c r="G137" s="10" t="inlineStr">
        <is>
          <t>No</t>
        </is>
      </c>
      <c r="H137" s="10" t="n">
        <v>0</v>
      </c>
      <c r="I137" s="10" t="inlineStr"/>
      <c r="J137" s="10" t="inlineStr"/>
      <c r="K137" s="10" t="inlineStr">
        <is>
          <t>Not reviewed</t>
        </is>
      </c>
      <c r="L137" s="10" t="inlineStr"/>
    </row>
    <row r="138">
      <c r="A138" s="10" t="inlineStr">
        <is>
          <t>3.4 Per-fruit and sentinel state estimation</t>
        </is>
      </c>
      <c r="B138" s="10" t="n">
        <v>65</v>
      </c>
      <c r="C138" s="10" t="n">
        <v>1</v>
      </c>
      <c r="D138" s="10" t="inlineStr">
        <is>
          <t>This hierarchy also defines the experimental unit.</t>
        </is>
      </c>
      <c r="E138" s="10" t="n">
        <v>7</v>
      </c>
      <c r="F138" s="10" t="inlineStr">
        <is>
          <t>No</t>
        </is>
      </c>
      <c r="G138" s="10" t="inlineStr">
        <is>
          <t>No</t>
        </is>
      </c>
      <c r="H138" s="10" t="n">
        <v>1</v>
      </c>
      <c r="I138" s="10" t="inlineStr"/>
      <c r="J138" s="10" t="inlineStr"/>
      <c r="K138" s="10" t="inlineStr">
        <is>
          <t>Not reviewed</t>
        </is>
      </c>
      <c r="L138" s="10" t="inlineStr"/>
    </row>
    <row r="139">
      <c r="A139" s="10" t="inlineStr">
        <is>
          <t>3.4 Per-fruit and sentinel state estimation</t>
        </is>
      </c>
      <c r="B139" s="10" t="n">
        <v>65</v>
      </c>
      <c r="C139" s="10" t="n">
        <v>2</v>
      </c>
      <c r="D139" s="10" t="inlineStr">
        <is>
          <t>A fruit can be the unit for firmness or colour, a sealed vessel may be the unit for pooled respiration, and a chamber can be the unit for treatment.</t>
        </is>
      </c>
      <c r="E139" s="10" t="n">
        <v>29</v>
      </c>
      <c r="F139" s="10" t="inlineStr">
        <is>
          <t>Yes</t>
        </is>
      </c>
      <c r="G139" s="10" t="inlineStr">
        <is>
          <t>No</t>
        </is>
      </c>
      <c r="H139" s="10" t="n">
        <v>2</v>
      </c>
      <c r="I139" s="10" t="inlineStr"/>
      <c r="J139" s="10" t="inlineStr">
        <is>
          <t>Split or simplify</t>
        </is>
      </c>
      <c r="K139" s="10" t="inlineStr">
        <is>
          <t>Not reviewed</t>
        </is>
      </c>
      <c r="L139" s="10" t="inlineStr"/>
    </row>
    <row r="140">
      <c r="A140" s="10" t="inlineStr">
        <is>
          <t>3.4 Per-fruit and sentinel state estimation</t>
        </is>
      </c>
      <c r="B140" s="10" t="n">
        <v>65</v>
      </c>
      <c r="C140" s="10" t="n">
        <v>3</v>
      </c>
      <c r="D140" s="10" t="inlineStr">
        <is>
          <t>Repeated analytical injections are not biological replication.</t>
        </is>
      </c>
      <c r="E140" s="10" t="n">
        <v>7</v>
      </c>
      <c r="F140" s="10" t="inlineStr">
        <is>
          <t>No</t>
        </is>
      </c>
      <c r="G140" s="10" t="inlineStr">
        <is>
          <t>No</t>
        </is>
      </c>
      <c r="H140" s="10" t="n">
        <v>3</v>
      </c>
      <c r="I140" s="10" t="inlineStr"/>
      <c r="J140" s="10" t="inlineStr">
        <is>
          <t>Replace noun-heavy phrasing</t>
        </is>
      </c>
      <c r="K140" s="10" t="inlineStr">
        <is>
          <t>Not reviewed</t>
        </is>
      </c>
      <c r="L140" s="10" t="inlineStr"/>
    </row>
    <row r="141">
      <c r="A141" s="10" t="inlineStr">
        <is>
          <t>3.4 Per-fruit and sentinel state estimation</t>
        </is>
      </c>
      <c r="B141" s="10" t="n">
        <v>65</v>
      </c>
      <c r="C141" s="10" t="n">
        <v>4</v>
      </c>
      <c r="D141" s="10" t="inlineStr">
        <is>
          <t>Sample size, randomization and statistical models must follow the level at which exposure and outcome vary.</t>
        </is>
      </c>
      <c r="E141" s="10" t="n">
        <v>16</v>
      </c>
      <c r="F141" s="10" t="inlineStr">
        <is>
          <t>No</t>
        </is>
      </c>
      <c r="G141" s="10" t="inlineStr">
        <is>
          <t>No</t>
        </is>
      </c>
      <c r="H141" s="10" t="n">
        <v>2</v>
      </c>
      <c r="I141" s="10" t="inlineStr"/>
      <c r="J141" s="10" t="inlineStr"/>
      <c r="K141" s="10" t="inlineStr">
        <is>
          <t>Not reviewed</t>
        </is>
      </c>
      <c r="L141" s="10" t="inlineStr"/>
    </row>
    <row r="142">
      <c r="A142" s="10" t="inlineStr">
        <is>
          <t>3.4 Per-fruit and sentinel state estimation</t>
        </is>
      </c>
      <c r="B142" s="10" t="n">
        <v>68</v>
      </c>
      <c r="C142" s="10" t="n">
        <v>1</v>
      </c>
      <c r="D142" s="10" t="inlineStr">
        <is>
          <t>Figure 2.</t>
        </is>
      </c>
      <c r="E142" s="10" t="n">
        <v>2</v>
      </c>
      <c r="F142" s="10" t="inlineStr">
        <is>
          <t>No</t>
        </is>
      </c>
      <c r="G142" s="10" t="inlineStr">
        <is>
          <t>No</t>
        </is>
      </c>
      <c r="H142" s="10" t="n">
        <v>0</v>
      </c>
      <c r="I142" s="10" t="inlineStr"/>
      <c r="J142" s="10" t="inlineStr"/>
      <c r="K142" s="10" t="inlineStr">
        <is>
          <t>Not reviewed</t>
        </is>
      </c>
      <c r="L142" s="10" t="inlineStr"/>
    </row>
    <row r="143">
      <c r="A143" s="10" t="inlineStr">
        <is>
          <t>3.4 Per-fruit and sentinel state estimation</t>
        </is>
      </c>
      <c r="B143" s="10" t="n">
        <v>68</v>
      </c>
      <c r="C143" s="10" t="n">
        <v>2</v>
      </c>
      <c r="D143" s="10" t="inlineStr">
        <is>
          <t>From sound source to shelf performance.</t>
        </is>
      </c>
      <c r="E143" s="10" t="n">
        <v>6</v>
      </c>
      <c r="F143" s="10" t="inlineStr">
        <is>
          <t>No</t>
        </is>
      </c>
      <c r="G143" s="10" t="inlineStr">
        <is>
          <t>No</t>
        </is>
      </c>
      <c r="H143" s="10" t="n">
        <v>1</v>
      </c>
      <c r="I143" s="10" t="inlineStr"/>
      <c r="J143" s="10" t="inlineStr"/>
      <c r="K143" s="10" t="inlineStr">
        <is>
          <t>Not reviewed</t>
        </is>
      </c>
      <c r="L143" s="10" t="inlineStr"/>
    </row>
    <row r="144">
      <c r="A144" s="10" t="inlineStr">
        <is>
          <t>3.4 Per-fruit and sentinel state estimation</t>
        </is>
      </c>
      <c r="B144" s="10" t="n">
        <v>68</v>
      </c>
      <c r="C144" s="10" t="n">
        <v>3</v>
      </c>
      <c r="D144" s="10" t="inlineStr">
        <is>
          <t>The upper chain separates source, loaded field, interface, receiver state, receiver exposure, biology, longitudinal quality and shelf performance.</t>
        </is>
      </c>
      <c r="E144" s="10" t="n">
        <v>18</v>
      </c>
      <c r="F144" s="10" t="inlineStr">
        <is>
          <t>No</t>
        </is>
      </c>
      <c r="G144" s="10" t="inlineStr">
        <is>
          <t>No</t>
        </is>
      </c>
      <c r="H144" s="10" t="n">
        <v>2</v>
      </c>
      <c r="I144" s="10" t="inlineStr"/>
      <c r="J144" s="10" t="inlineStr"/>
      <c r="K144" s="10" t="inlineStr">
        <is>
          <t>Not reviewed</t>
        </is>
      </c>
      <c r="L144" s="10" t="inlineStr"/>
    </row>
    <row r="145">
      <c r="A145" s="10" t="inlineStr">
        <is>
          <t>3.4 Per-fruit and sentinel state estimation</t>
        </is>
      </c>
      <c r="B145" s="10" t="n">
        <v>68</v>
      </c>
      <c r="C145" s="10" t="n">
        <v>4</v>
      </c>
      <c r="D145" s="10" t="inlineStr">
        <is>
          <t>The lower panels show why identical source settings can produce different responses as fruit state evolves and why exposure should remain a vector until a mechanism-specific predictor is validated.</t>
        </is>
      </c>
      <c r="E145" s="10" t="n">
        <v>29</v>
      </c>
      <c r="F145" s="10" t="inlineStr">
        <is>
          <t>Yes</t>
        </is>
      </c>
      <c r="G145" s="10" t="inlineStr">
        <is>
          <t>Yes</t>
        </is>
      </c>
      <c r="H145" s="10" t="n">
        <v>1</v>
      </c>
      <c r="I145" s="10" t="inlineStr"/>
      <c r="J145" s="10" t="inlineStr">
        <is>
          <t>Split or simplify; Consider active voice</t>
        </is>
      </c>
      <c r="K145" s="10" t="inlineStr">
        <is>
          <t>Not reviewed</t>
        </is>
      </c>
      <c r="L145" s="10" t="inlineStr"/>
    </row>
    <row r="146">
      <c r="A146" s="10" t="inlineStr">
        <is>
          <t>4.1 Airborne effects on intact fruit: a connected evidence lineage</t>
        </is>
      </c>
      <c r="B146" s="10" t="n">
        <v>72</v>
      </c>
      <c r="C146" s="10" t="n">
        <v>1</v>
      </c>
      <c r="D146" s="10" t="inlineStr">
        <is>
          <t>The strongest detached-fruit signal comes from a connected sequence of tomato studies.</t>
        </is>
      </c>
      <c r="E146" s="10" t="n">
        <v>12</v>
      </c>
      <c r="F146" s="10" t="inlineStr">
        <is>
          <t>No</t>
        </is>
      </c>
      <c r="G146" s="10" t="inlineStr">
        <is>
          <t>No</t>
        </is>
      </c>
      <c r="H146" s="10" t="n">
        <v>2</v>
      </c>
      <c r="I146" s="10" t="inlineStr"/>
      <c r="J146" s="10" t="inlineStr"/>
      <c r="K146" s="10" t="inlineStr">
        <is>
          <t>Not reviewed</t>
        </is>
      </c>
      <c r="L146" s="10" t="inlineStr"/>
    </row>
    <row r="147">
      <c r="A147" s="10" t="inlineStr">
        <is>
          <t>4.1 Airborne effects on intact fruit: a connected evidence lineage</t>
        </is>
      </c>
      <c r="B147" s="10" t="n">
        <v>72</v>
      </c>
      <c r="C147" s="10" t="n">
        <v>2</v>
      </c>
      <c r="D147" s="10" t="inlineStr">
        <is>
          <t>Kim et al. [26] associated a six-hour 1 kHz treatment with delayed colour development, greater firmness, altered ethylene or carbon-dioxide trajectories and changes in ripening-related gene expression.</t>
        </is>
      </c>
      <c r="E147" s="10" t="n">
        <v>27</v>
      </c>
      <c r="F147" s="10" t="inlineStr">
        <is>
          <t>Yes</t>
        </is>
      </c>
      <c r="G147" s="10" t="inlineStr">
        <is>
          <t>No</t>
        </is>
      </c>
      <c r="H147" s="10" t="n">
        <v>3</v>
      </c>
      <c r="I147" s="10" t="inlineStr"/>
      <c r="J147" s="10" t="inlineStr">
        <is>
          <t>Split or simplify; Replace noun-heavy phrasing</t>
        </is>
      </c>
      <c r="K147" s="10" t="inlineStr">
        <is>
          <t>Not reviewed</t>
        </is>
      </c>
      <c r="L147" s="10" t="inlineStr"/>
    </row>
    <row r="148">
      <c r="A148" s="10" t="inlineStr">
        <is>
          <t>4.1 Airborne effects on intact fruit: a connected evidence lineage</t>
        </is>
      </c>
      <c r="B148" s="10" t="n">
        <v>72</v>
      </c>
      <c r="C148" s="10" t="n">
        <v>3</v>
      </c>
      <c r="D148" s="10" t="inlineStr">
        <is>
          <t>Later studies examined transcription factors, coding and non-coding RNAs, histone modification and selected metabolites under related treatment logic [27–30].</t>
        </is>
      </c>
      <c r="E148" s="10" t="n">
        <v>20</v>
      </c>
      <c r="F148" s="10" t="inlineStr">
        <is>
          <t>No</t>
        </is>
      </c>
      <c r="G148" s="10" t="inlineStr">
        <is>
          <t>No</t>
        </is>
      </c>
      <c r="H148" s="10" t="n">
        <v>3</v>
      </c>
      <c r="I148" s="10" t="inlineStr"/>
      <c r="J148" s="10" t="inlineStr">
        <is>
          <t>Replace noun-heavy phrasing</t>
        </is>
      </c>
      <c r="K148" s="10" t="inlineStr">
        <is>
          <t>Not reviewed</t>
        </is>
      </c>
      <c r="L148" s="10" t="inlineStr"/>
    </row>
    <row r="149">
      <c r="A149" s="10" t="inlineStr">
        <is>
          <t>4.1 Airborne effects on intact fruit: a connected evidence lineage</t>
        </is>
      </c>
      <c r="B149" s="10" t="n">
        <v>72</v>
      </c>
      <c r="C149" s="10" t="n">
        <v>4</v>
      </c>
      <c r="D149" s="10" t="inlineStr">
        <is>
          <t>Convergence across phenotype, gases and molecular layers makes the observation worth testing; it does not close the physical mechanism.</t>
        </is>
      </c>
      <c r="E149" s="10" t="n">
        <v>19</v>
      </c>
      <c r="F149" s="10" t="inlineStr">
        <is>
          <t>No</t>
        </is>
      </c>
      <c r="G149" s="10" t="inlineStr">
        <is>
          <t>No</t>
        </is>
      </c>
      <c r="H149" s="10" t="n">
        <v>3</v>
      </c>
      <c r="I149" s="10" t="inlineStr"/>
      <c r="J149" s="10" t="inlineStr">
        <is>
          <t>Replace noun-heavy phrasing</t>
        </is>
      </c>
      <c r="K149" s="10" t="inlineStr">
        <is>
          <t>Not reviewed</t>
        </is>
      </c>
      <c r="L149" s="10" t="inlineStr"/>
    </row>
    <row r="150">
      <c r="A150" s="10" t="inlineStr">
        <is>
          <t>4.1 Airborne effects on intact fruit: a connected evidence lineage</t>
        </is>
      </c>
      <c r="B150" s="10" t="n">
        <v>73</v>
      </c>
      <c r="C150" s="10" t="n">
        <v>1</v>
      </c>
      <c r="D150" s="10" t="inlineStr">
        <is>
          <t>The papers should not be described as independent replication.</t>
        </is>
      </c>
      <c r="E150" s="10" t="n">
        <v>9</v>
      </c>
      <c r="F150" s="10" t="inlineStr">
        <is>
          <t>No</t>
        </is>
      </c>
      <c r="G150" s="10" t="inlineStr">
        <is>
          <t>Yes</t>
        </is>
      </c>
      <c r="H150" s="10" t="n">
        <v>1</v>
      </c>
      <c r="I150" s="10" t="inlineStr"/>
      <c r="J150" s="10" t="inlineStr">
        <is>
          <t>Consider active voice</t>
        </is>
      </c>
      <c r="K150" s="10" t="inlineStr">
        <is>
          <t>Not reviewed</t>
        </is>
      </c>
      <c r="L150" s="10" t="inlineStr"/>
    </row>
    <row r="151">
      <c r="A151" s="10" t="inlineStr">
        <is>
          <t>4.1 Airborne effects on intact fruit: a connected evidence lineage</t>
        </is>
      </c>
      <c r="B151" s="10" t="n">
        <v>73</v>
      </c>
      <c r="C151" s="10" t="n">
        <v>2</v>
      </c>
      <c r="D151" s="10" t="inlineStr">
        <is>
          <t>They share investigators, treatment logic and biological material.</t>
        </is>
      </c>
      <c r="E151" s="10" t="n">
        <v>8</v>
      </c>
      <c r="F151" s="10" t="inlineStr">
        <is>
          <t>No</t>
        </is>
      </c>
      <c r="G151" s="10" t="inlineStr">
        <is>
          <t>No</t>
        </is>
      </c>
      <c r="H151" s="10" t="n">
        <v>3</v>
      </c>
      <c r="I151" s="10" t="inlineStr"/>
      <c r="J151" s="10" t="inlineStr">
        <is>
          <t>Replace noun-heavy phrasing</t>
        </is>
      </c>
      <c r="K151" s="10" t="inlineStr">
        <is>
          <t>Not reviewed</t>
        </is>
      </c>
      <c r="L151" s="10" t="inlineStr"/>
    </row>
    <row r="152">
      <c r="A152" s="10" t="inlineStr">
        <is>
          <t>4.1 Airborne effects on intact fruit: a connected evidence lineage</t>
        </is>
      </c>
      <c r="B152" s="10" t="n">
        <v>73</v>
      </c>
      <c r="C152" s="10" t="n">
        <v>3</v>
      </c>
      <c r="D152" s="10" t="inlineStr">
        <is>
          <t>They also do not specify identical receiver exposure.</t>
        </is>
      </c>
      <c r="E152" s="10" t="n">
        <v>8</v>
      </c>
      <c r="F152" s="10" t="inlineStr">
        <is>
          <t>No</t>
        </is>
      </c>
      <c r="G152" s="10" t="inlineStr">
        <is>
          <t>No</t>
        </is>
      </c>
      <c r="H152" s="10" t="n">
        <v>1</v>
      </c>
      <c r="I152" s="10" t="inlineStr"/>
      <c r="J152" s="10" t="inlineStr"/>
      <c r="K152" s="10" t="inlineStr">
        <is>
          <t>Not reviewed</t>
        </is>
      </c>
      <c r="L152" s="10" t="inlineStr"/>
    </row>
    <row r="153">
      <c r="A153" s="10" t="inlineStr">
        <is>
          <t>4.1 Airborne effects on intact fruit: a connected evidence lineage</t>
        </is>
      </c>
      <c r="B153" s="10" t="n">
        <v>73</v>
      </c>
      <c r="C153" s="10" t="n">
        <v>4</v>
      </c>
      <c r="D153" s="10" t="inlineStr">
        <is>
          <t>The transcriptomic paper reports a nominal 80 dB speaker setting, whereas the later metabolomics paper reports 100 dB [28,30].</t>
        </is>
      </c>
      <c r="E153" s="10" t="n">
        <v>20</v>
      </c>
      <c r="F153" s="10" t="inlineStr">
        <is>
          <t>No</t>
        </is>
      </c>
      <c r="G153" s="10" t="inlineStr">
        <is>
          <t>No</t>
        </is>
      </c>
      <c r="H153" s="10" t="n">
        <v>1</v>
      </c>
      <c r="I153" s="10" t="inlineStr"/>
      <c r="J153" s="10" t="inlineStr"/>
      <c r="K153" s="10" t="inlineStr">
        <is>
          <t>Not reviewed</t>
        </is>
      </c>
      <c r="L153" s="10" t="inlineStr"/>
    </row>
    <row r="154">
      <c r="A154" s="10" t="inlineStr">
        <is>
          <t>4.1 Airborne effects on intact fruit: a connected evidence lineage</t>
        </is>
      </c>
      <c r="B154" s="10" t="n">
        <v>73</v>
      </c>
      <c r="C154" s="10" t="n">
        <v>5</v>
      </c>
      <c r="D154" s="10" t="inlineStr">
        <is>
          <t>Neither value describes the loaded spatial field or fruit motion.</t>
        </is>
      </c>
      <c r="E154" s="10" t="n">
        <v>10</v>
      </c>
      <c r="F154" s="10" t="inlineStr">
        <is>
          <t>No</t>
        </is>
      </c>
      <c r="G154" s="10" t="inlineStr">
        <is>
          <t>No</t>
        </is>
      </c>
      <c r="H154" s="10" t="n">
        <v>2</v>
      </c>
      <c r="I154" s="10" t="inlineStr"/>
      <c r="J154" s="10" t="inlineStr"/>
      <c r="K154" s="10" t="inlineStr">
        <is>
          <t>Not reviewed</t>
        </is>
      </c>
      <c r="L154" s="10" t="inlineStr"/>
    </row>
    <row r="155">
      <c r="A155" s="10" t="inlineStr">
        <is>
          <t>4.1 Airborne effects on intact fruit: a connected evidence lineage</t>
        </is>
      </c>
      <c r="B155" s="10" t="n">
        <v>73</v>
      </c>
      <c r="C155" s="10" t="n">
        <v>6</v>
      </c>
      <c r="D155" s="10" t="inlineStr">
        <is>
          <t>The phrase “1 kHz sound treatment” therefore groups studies that share frequency but not a reconstructed physical treatment.</t>
        </is>
      </c>
      <c r="E155" s="10" t="n">
        <v>18</v>
      </c>
      <c r="F155" s="10" t="inlineStr">
        <is>
          <t>No</t>
        </is>
      </c>
      <c r="G155" s="10" t="inlineStr">
        <is>
          <t>No</t>
        </is>
      </c>
      <c r="H155" s="10" t="n">
        <v>3</v>
      </c>
      <c r="I155" s="10" t="inlineStr"/>
      <c r="J155" s="10" t="inlineStr">
        <is>
          <t>Replace noun-heavy phrasing</t>
        </is>
      </c>
      <c r="K155" s="10" t="inlineStr">
        <is>
          <t>Not reviewed</t>
        </is>
      </c>
      <c r="L155" s="10" t="inlineStr"/>
    </row>
    <row r="156">
      <c r="A156" s="10" t="inlineStr">
        <is>
          <t>4.1 Airborne effects on intact fruit: a connected evidence lineage</t>
        </is>
      </c>
      <c r="B156" s="10" t="n">
        <v>74</v>
      </c>
      <c r="C156" s="10" t="n">
        <v>1</v>
      </c>
      <c r="D156" s="10" t="inlineStr">
        <is>
          <t>Trajectory alignment remains another hidden variable.</t>
        </is>
      </c>
      <c r="E156" s="10" t="n">
        <v>6</v>
      </c>
      <c r="F156" s="10" t="inlineStr">
        <is>
          <t>No</t>
        </is>
      </c>
      <c r="G156" s="10" t="inlineStr">
        <is>
          <t>No</t>
        </is>
      </c>
      <c r="H156" s="10" t="n">
        <v>1</v>
      </c>
      <c r="I156" s="10" t="inlineStr"/>
      <c r="J156" s="10" t="inlineStr"/>
      <c r="K156" s="10" t="inlineStr">
        <is>
          <t>Not reviewed</t>
        </is>
      </c>
      <c r="L156" s="10" t="inlineStr"/>
    </row>
    <row r="157">
      <c r="A157" s="10" t="inlineStr">
        <is>
          <t>4.1 Airborne effects on intact fruit: a connected evidence lineage</t>
        </is>
      </c>
      <c r="B157" s="10" t="n">
        <v>74</v>
      </c>
      <c r="C157" s="10" t="n">
        <v>2</v>
      </c>
      <c r="D157" s="10" t="inlineStr">
        <is>
          <t>A lower ethylene or carbon-dioxide value on one day can reflect a delayed climacteric peak rather than lower cumulative metabolism.</t>
        </is>
      </c>
      <c r="E157" s="10" t="n">
        <v>20</v>
      </c>
      <c r="F157" s="10" t="inlineStr">
        <is>
          <t>No</t>
        </is>
      </c>
      <c r="G157" s="10" t="inlineStr">
        <is>
          <t>No</t>
        </is>
      </c>
      <c r="H157" s="10" t="n">
        <v>0</v>
      </c>
      <c r="I157" s="10" t="inlineStr"/>
      <c r="J157" s="10" t="inlineStr"/>
      <c r="K157" s="10" t="inlineStr">
        <is>
          <t>Not reviewed</t>
        </is>
      </c>
      <c r="L157" s="10" t="inlineStr"/>
    </row>
    <row r="158">
      <c r="A158" s="10" t="inlineStr">
        <is>
          <t>4.1 Airborne effects on intact fruit: a connected evidence lineage</t>
        </is>
      </c>
      <c r="B158" s="10" t="n">
        <v>74</v>
      </c>
      <c r="C158" s="10" t="n">
        <v>3</v>
      </c>
      <c r="D158" s="10" t="inlineStr">
        <is>
          <t>Primary outputs should include onset, peak time, peak height and area under the full trajectory.</t>
        </is>
      </c>
      <c r="E158" s="10" t="n">
        <v>15</v>
      </c>
      <c r="F158" s="10" t="inlineStr">
        <is>
          <t>No</t>
        </is>
      </c>
      <c r="G158" s="10" t="inlineStr">
        <is>
          <t>No</t>
        </is>
      </c>
      <c r="H158" s="10" t="n">
        <v>0</v>
      </c>
      <c r="I158" s="10" t="inlineStr"/>
      <c r="J158" s="10" t="inlineStr"/>
      <c r="K158" s="10" t="inlineStr">
        <is>
          <t>Not reviewed</t>
        </is>
      </c>
      <c r="L158" s="10" t="inlineStr"/>
    </row>
    <row r="159">
      <c r="A159" s="10" t="inlineStr">
        <is>
          <t>4.1 Airborne effects on intact fruit: a connected evidence lineage</t>
        </is>
      </c>
      <c r="B159" s="10" t="n">
        <v>74</v>
      </c>
      <c r="C159" s="10" t="n">
        <v>4</v>
      </c>
      <c r="D159" s="10" t="inlineStr">
        <is>
          <t>Researchers should compare fruit both at equal elapsed time and at equal physiological state.</t>
        </is>
      </c>
      <c r="E159" s="10" t="n">
        <v>14</v>
      </c>
      <c r="F159" s="10" t="inlineStr">
        <is>
          <t>No</t>
        </is>
      </c>
      <c r="G159" s="10" t="inlineStr">
        <is>
          <t>No</t>
        </is>
      </c>
      <c r="H159" s="10" t="n">
        <v>3</v>
      </c>
      <c r="I159" s="10" t="inlineStr"/>
      <c r="J159" s="10" t="inlineStr">
        <is>
          <t>Replace noun-heavy phrasing</t>
        </is>
      </c>
      <c r="K159" s="10" t="inlineStr">
        <is>
          <t>Not reviewed</t>
        </is>
      </c>
      <c r="L159" s="10" t="inlineStr"/>
    </row>
    <row r="160">
      <c r="A160" s="10" t="inlineStr">
        <is>
          <t>4.1 Airborne effects on intact fruit: a connected evidence lineage</t>
        </is>
      </c>
      <c r="B160" s="10" t="n">
        <v>74</v>
      </c>
      <c r="C160" s="10" t="n">
        <v>5</v>
      </c>
      <c r="D160" s="10" t="inlineStr">
        <is>
          <t>Metabolites selected on days of maximal colour separation may mark different maturity rather than mediate the acoustic effect.</t>
        </is>
      </c>
      <c r="E160" s="10" t="n">
        <v>18</v>
      </c>
      <c r="F160" s="10" t="inlineStr">
        <is>
          <t>No</t>
        </is>
      </c>
      <c r="G160" s="10" t="inlineStr">
        <is>
          <t>No</t>
        </is>
      </c>
      <c r="H160" s="10" t="n">
        <v>2</v>
      </c>
      <c r="I160" s="10" t="inlineStr"/>
      <c r="J160" s="10" t="inlineStr"/>
      <c r="K160" s="10" t="inlineStr">
        <is>
          <t>Not reviewed</t>
        </is>
      </c>
      <c r="L160" s="10" t="inlineStr"/>
    </row>
    <row r="161">
      <c r="A161" s="10" t="inlineStr">
        <is>
          <t>4.1 Airborne effects on intact fruit: a connected evidence lineage</t>
        </is>
      </c>
      <c r="B161" s="10" t="n">
        <v>75</v>
      </c>
      <c r="C161" s="10" t="n">
        <v>1</v>
      </c>
      <c r="D161" s="10" t="inlineStr">
        <is>
          <t>Table 2 compares the seven primary airborne-fruit studies by question, receiver, reported source recipe, measured evidence, outcome and unresolved confounder.</t>
        </is>
      </c>
      <c r="E161" s="10" t="n">
        <v>20</v>
      </c>
      <c r="F161" s="10" t="inlineStr">
        <is>
          <t>No</t>
        </is>
      </c>
      <c r="G161" s="10" t="inlineStr">
        <is>
          <t>No</t>
        </is>
      </c>
      <c r="H161" s="10" t="n">
        <v>2</v>
      </c>
      <c r="I161" s="10" t="inlineStr"/>
      <c r="J161" s="10" t="inlineStr"/>
      <c r="K161" s="10" t="inlineStr">
        <is>
          <t>Not reviewed</t>
        </is>
      </c>
      <c r="L161" s="10" t="inlineStr"/>
    </row>
    <row r="162">
      <c r="A162" s="10" t="inlineStr">
        <is>
          <t>4.1 Airborne effects on intact fruit: a connected evidence lineage</t>
        </is>
      </c>
      <c r="B162" s="10" t="n">
        <v>75</v>
      </c>
      <c r="C162" s="10" t="n">
        <v>2</v>
      </c>
      <c r="D162" s="10" t="inlineStr">
        <is>
          <t>“Not reported” or “not verified” is retained where the source does not support a more precise statement.</t>
        </is>
      </c>
      <c r="E162" s="10" t="n">
        <v>17</v>
      </c>
      <c r="F162" s="10" t="inlineStr">
        <is>
          <t>No</t>
        </is>
      </c>
      <c r="G162" s="10" t="inlineStr">
        <is>
          <t>Yes</t>
        </is>
      </c>
      <c r="H162" s="10" t="n">
        <v>1</v>
      </c>
      <c r="I162" s="10" t="inlineStr"/>
      <c r="J162" s="10" t="inlineStr">
        <is>
          <t>Consider active voice</t>
        </is>
      </c>
      <c r="K162" s="10" t="inlineStr">
        <is>
          <t>Not reviewed</t>
        </is>
      </c>
      <c r="L162" s="10" t="inlineStr"/>
    </row>
    <row r="163">
      <c r="A163" s="10" t="inlineStr">
        <is>
          <t>4.1 Airborne effects on intact fruit: a connected evidence lineage</t>
        </is>
      </c>
      <c r="B163" s="10" t="n">
        <v>77</v>
      </c>
      <c r="C163" s="10" t="n">
        <v>1</v>
      </c>
      <c r="D163" s="10" t="inlineStr">
        <is>
          <t>Table 2.</t>
        </is>
      </c>
      <c r="E163" s="10" t="n">
        <v>2</v>
      </c>
      <c r="F163" s="10" t="inlineStr">
        <is>
          <t>No</t>
        </is>
      </c>
      <c r="G163" s="10" t="inlineStr">
        <is>
          <t>No</t>
        </is>
      </c>
      <c r="H163" s="10" t="n">
        <v>0</v>
      </c>
      <c r="I163" s="10" t="inlineStr"/>
      <c r="J163" s="10" t="inlineStr"/>
      <c r="K163" s="10" t="inlineStr">
        <is>
          <t>Not reviewed</t>
        </is>
      </c>
      <c r="L163" s="10" t="inlineStr"/>
    </row>
    <row r="164">
      <c r="A164" s="10" t="inlineStr">
        <is>
          <t>4.1 Airborne effects on intact fruit: a connected evidence lineage</t>
        </is>
      </c>
      <c r="B164" s="10" t="n">
        <v>77</v>
      </c>
      <c r="C164" s="10" t="n">
        <v>2</v>
      </c>
      <c r="D164" s="10" t="inlineStr">
        <is>
          <t>Critical comparison of primary airborne-fruit studies retained in the review.</t>
        </is>
      </c>
      <c r="E164" s="10" t="n">
        <v>10</v>
      </c>
      <c r="F164" s="10" t="inlineStr">
        <is>
          <t>No</t>
        </is>
      </c>
      <c r="G164" s="10" t="inlineStr">
        <is>
          <t>No</t>
        </is>
      </c>
      <c r="H164" s="10" t="n">
        <v>1</v>
      </c>
      <c r="I164" s="10" t="inlineStr"/>
      <c r="J164" s="10" t="inlineStr"/>
      <c r="K164" s="10" t="inlineStr">
        <is>
          <t>Not reviewed</t>
        </is>
      </c>
      <c r="L164" s="10" t="inlineStr"/>
    </row>
    <row r="165">
      <c r="A165" s="10" t="inlineStr">
        <is>
          <t>4.1 Airborne effects on intact fruit: a connected evidence lineage</t>
        </is>
      </c>
      <c r="B165" s="10" t="n">
        <v>78</v>
      </c>
      <c r="C165" s="10" t="n">
        <v>1</v>
      </c>
      <c r="D165" s="10" t="inlineStr">
        <is>
          <t>The table evaluates what each paper measured and what remained latent.</t>
        </is>
      </c>
      <c r="E165" s="10" t="n">
        <v>11</v>
      </c>
      <c r="F165" s="10" t="inlineStr">
        <is>
          <t>No</t>
        </is>
      </c>
      <c r="G165" s="10" t="inlineStr">
        <is>
          <t>No</t>
        </is>
      </c>
      <c r="H165" s="10" t="n">
        <v>0</v>
      </c>
      <c r="I165" s="10" t="inlineStr"/>
      <c r="J165" s="10" t="inlineStr"/>
      <c r="K165" s="10" t="inlineStr">
        <is>
          <t>Not reviewed</t>
        </is>
      </c>
      <c r="L165" s="10" t="inlineStr"/>
    </row>
    <row r="166">
      <c r="A166" s="10" t="inlineStr">
        <is>
          <t>4.1 Airborne effects on intact fruit: a connected evidence lineage</t>
        </is>
      </c>
      <c r="B166" s="10" t="n">
        <v>78</v>
      </c>
      <c r="C166" s="10" t="n">
        <v>2</v>
      </c>
      <c r="D166" s="10" t="inlineStr">
        <is>
          <t>It does not re-score statistical significance or infer unreported sample sizes.</t>
        </is>
      </c>
      <c r="E166" s="10" t="n">
        <v>11</v>
      </c>
      <c r="F166" s="10" t="inlineStr">
        <is>
          <t>No</t>
        </is>
      </c>
      <c r="G166" s="10" t="inlineStr">
        <is>
          <t>No</t>
        </is>
      </c>
      <c r="H166" s="10" t="n">
        <v>2</v>
      </c>
      <c r="I166" s="10" t="inlineStr"/>
      <c r="J166" s="10" t="inlineStr"/>
      <c r="K166" s="10" t="inlineStr">
        <is>
          <t>Not reviewed</t>
        </is>
      </c>
      <c r="L166" s="10" t="inlineStr"/>
    </row>
    <row r="167">
      <c r="A167" s="10" t="inlineStr">
        <is>
          <t>4.2 Adjacent plant and transport evidence</t>
        </is>
      </c>
      <c r="B167" s="10" t="n">
        <v>81</v>
      </c>
      <c r="C167" s="10" t="n">
        <v>1</v>
      </c>
      <c r="D167" s="10" t="inlineStr">
        <is>
          <t>The strawberry and tomato plant experiments broaden the biological hypothesis but do not validate detached-fruit treatment [32,33].</t>
        </is>
      </c>
      <c r="E167" s="10" t="n">
        <v>18</v>
      </c>
      <c r="F167" s="10" t="inlineStr">
        <is>
          <t>No</t>
        </is>
      </c>
      <c r="G167" s="10" t="inlineStr">
        <is>
          <t>No</t>
        </is>
      </c>
      <c r="H167" s="10" t="n">
        <v>2</v>
      </c>
      <c r="I167" s="10" t="inlineStr"/>
      <c r="J167" s="10" t="inlineStr"/>
      <c r="K167" s="10" t="inlineStr">
        <is>
          <t>Not reviewed</t>
        </is>
      </c>
      <c r="L167" s="10" t="inlineStr"/>
    </row>
    <row r="168">
      <c r="A168" s="10" t="inlineStr">
        <is>
          <t>4.2 Adjacent plant and transport evidence</t>
        </is>
      </c>
      <c r="B168" s="10" t="n">
        <v>81</v>
      </c>
      <c r="C168" s="10" t="n">
        <v>2</v>
      </c>
      <c r="D168" s="10" t="inlineStr">
        <is>
          <t>In the tomato study, successive weekly frequencies confound frequency with treatment order and development.</t>
        </is>
      </c>
      <c r="E168" s="10" t="n">
        <v>14</v>
      </c>
      <c r="F168" s="10" t="inlineStr">
        <is>
          <t>No</t>
        </is>
      </c>
      <c r="G168" s="10" t="inlineStr">
        <is>
          <t>No</t>
        </is>
      </c>
      <c r="H168" s="10" t="n">
        <v>2</v>
      </c>
      <c r="I168" s="10" t="inlineStr"/>
      <c r="J168" s="10" t="inlineStr"/>
      <c r="K168" s="10" t="inlineStr">
        <is>
          <t>Not reviewed</t>
        </is>
      </c>
      <c r="L168" s="10" t="inlineStr"/>
    </row>
    <row r="169">
      <c r="A169" s="10" t="inlineStr">
        <is>
          <t>4.2 Adjacent plant and transport evidence</t>
        </is>
      </c>
      <c r="B169" s="10" t="n">
        <v>81</v>
      </c>
      <c r="C169" s="10" t="n">
        <v>3</v>
      </c>
      <c r="D169" s="10" t="inlineStr">
        <is>
          <t>In the strawberry study, the receiver was a whole plant exposed repeatedly for 30 days.</t>
        </is>
      </c>
      <c r="E169" s="10" t="n">
        <v>15</v>
      </c>
      <c r="F169" s="10" t="inlineStr">
        <is>
          <t>No</t>
        </is>
      </c>
      <c r="G169" s="10" t="inlineStr">
        <is>
          <t>No</t>
        </is>
      </c>
      <c r="H169" s="10" t="n">
        <v>0</v>
      </c>
      <c r="I169" s="10" t="inlineStr"/>
      <c r="J169" s="10" t="inlineStr"/>
      <c r="K169" s="10" t="inlineStr">
        <is>
          <t>Not reviewed</t>
        </is>
      </c>
      <c r="L169" s="10" t="inlineStr"/>
    </row>
    <row r="170">
      <c r="A170" s="10" t="inlineStr">
        <is>
          <t>4.2 Adjacent plant and transport evidence</t>
        </is>
      </c>
      <c r="B170" s="10" t="n">
        <v>81</v>
      </c>
      <c r="C170" s="10" t="n">
        <v>4</v>
      </c>
      <c r="D170" s="10" t="inlineStr">
        <is>
          <t>Flower studies show that airborne playback can produce organ motion measurable by vibrometry [34–37]; their value here is physical, not a direct transfer of biological effect to fruit.</t>
        </is>
      </c>
      <c r="E170" s="10" t="n">
        <v>29</v>
      </c>
      <c r="F170" s="10" t="inlineStr">
        <is>
          <t>Yes</t>
        </is>
      </c>
      <c r="G170" s="10" t="inlineStr">
        <is>
          <t>No</t>
        </is>
      </c>
      <c r="H170" s="10" t="n">
        <v>3</v>
      </c>
      <c r="I170" s="10" t="inlineStr"/>
      <c r="J170" s="10" t="inlineStr">
        <is>
          <t>Split or simplify; Replace noun-heavy phrasing</t>
        </is>
      </c>
      <c r="K170" s="10" t="inlineStr">
        <is>
          <t>Not reviewed</t>
        </is>
      </c>
      <c r="L170" s="10" t="inlineStr"/>
    </row>
    <row r="171">
      <c r="A171" s="10" t="inlineStr">
        <is>
          <t>4.2 Adjacent plant and transport evidence</t>
        </is>
      </c>
      <c r="B171" s="10" t="n">
        <v>81</v>
      </c>
      <c r="C171" s="10" t="n">
        <v>5</v>
      </c>
      <c r="D171" s="10" t="inlineStr">
        <is>
          <t>Transport studies provide the opposite boundary: structure-borne vibration can damage berries and other fruit, with direction, packaging and frequency altering transmissibility [38].</t>
        </is>
      </c>
      <c r="E171" s="10" t="n">
        <v>22</v>
      </c>
      <c r="F171" s="10" t="inlineStr">
        <is>
          <t>No</t>
        </is>
      </c>
      <c r="G171" s="10" t="inlineStr">
        <is>
          <t>No</t>
        </is>
      </c>
      <c r="H171" s="10" t="n">
        <v>3</v>
      </c>
      <c r="I171" s="10" t="inlineStr"/>
      <c r="J171" s="10" t="inlineStr">
        <is>
          <t>Replace noun-heavy phrasing</t>
        </is>
      </c>
      <c r="K171" s="10" t="inlineStr">
        <is>
          <t>Not reviewed</t>
        </is>
      </c>
      <c r="L171" s="10" t="inlineStr"/>
    </row>
    <row r="172">
      <c r="A172" s="10" t="inlineStr">
        <is>
          <t>4.2 Adjacent plant and transport evidence</t>
        </is>
      </c>
      <c r="B172" s="10" t="n">
        <v>81</v>
      </c>
      <c r="C172" s="10" t="n">
        <v>6</v>
      </c>
      <c r="D172" s="10" t="inlineStr">
        <is>
          <t>A loudspeaker experiment that omits shelf acceleration can therefore misclassify a contact route as an airborne route.</t>
        </is>
      </c>
      <c r="E172" s="10" t="n">
        <v>17</v>
      </c>
      <c r="F172" s="10" t="inlineStr">
        <is>
          <t>No</t>
        </is>
      </c>
      <c r="G172" s="10" t="inlineStr">
        <is>
          <t>No</t>
        </is>
      </c>
      <c r="H172" s="10" t="n">
        <v>2</v>
      </c>
      <c r="I172" s="10" t="inlineStr"/>
      <c r="J172" s="10" t="inlineStr"/>
      <c r="K172" s="10" t="inlineStr">
        <is>
          <t>Not reviewed</t>
        </is>
      </c>
      <c r="L172" s="10" t="inlineStr"/>
    </row>
    <row r="173">
      <c r="A173" s="10" t="inlineStr">
        <is>
          <t>4.3 Acoustic sensing supplies the strongest industrial comparator</t>
        </is>
      </c>
      <c r="B173" s="10" t="n">
        <v>83</v>
      </c>
      <c r="C173" s="10" t="n">
        <v>1</v>
      </c>
      <c r="D173" s="10" t="inlineStr">
        <is>
          <t>Acoustic and vibration sensing has a longer validation history than airborne intervention.</t>
        </is>
      </c>
      <c r="E173" s="10" t="n">
        <v>12</v>
      </c>
      <c r="F173" s="10" t="inlineStr">
        <is>
          <t>No</t>
        </is>
      </c>
      <c r="G173" s="10" t="inlineStr">
        <is>
          <t>No</t>
        </is>
      </c>
      <c r="H173" s="10" t="n">
        <v>3</v>
      </c>
      <c r="I173" s="10" t="inlineStr"/>
      <c r="J173" s="10" t="inlineStr">
        <is>
          <t>Replace noun-heavy phrasing</t>
        </is>
      </c>
      <c r="K173" s="10" t="inlineStr">
        <is>
          <t>Not reviewed</t>
        </is>
      </c>
      <c r="L173" s="10" t="inlineStr"/>
    </row>
    <row r="174">
      <c r="A174" s="10" t="inlineStr">
        <is>
          <t>4.3 Acoustic sensing supplies the strongest industrial comparator</t>
        </is>
      </c>
      <c r="B174" s="10" t="n">
        <v>83</v>
      </c>
      <c r="C174" s="10" t="n">
        <v>2</v>
      </c>
      <c r="D174" s="10" t="inlineStr">
        <is>
          <t>Impact response, modal frequency, stiffness indices, damping and attenuation have been evaluated for firmness, maturity and defects across several commodities [14–25,75–84].</t>
        </is>
      </c>
      <c r="E174" s="10" t="n">
        <v>24</v>
      </c>
      <c r="F174" s="10" t="inlineStr">
        <is>
          <t>No</t>
        </is>
      </c>
      <c r="G174" s="10" t="inlineStr">
        <is>
          <t>Yes</t>
        </is>
      </c>
      <c r="H174" s="10" t="n">
        <v>3</v>
      </c>
      <c r="I174" s="10" t="inlineStr"/>
      <c r="J174" s="10" t="inlineStr">
        <is>
          <t>Consider active voice; Replace noun-heavy phrasing</t>
        </is>
      </c>
      <c r="K174" s="10" t="inlineStr">
        <is>
          <t>Not reviewed</t>
        </is>
      </c>
      <c r="L174" s="10" t="inlineStr"/>
    </row>
    <row r="175">
      <c r="A175" s="10" t="inlineStr">
        <is>
          <t>4.3 Acoustic sensing supplies the strongest industrial comparator</t>
        </is>
      </c>
      <c r="B175" s="10" t="n">
        <v>83</v>
      </c>
      <c r="C175" s="10" t="n">
        <v>3</v>
      </c>
      <c r="D175" s="10" t="inlineStr">
        <is>
          <t>These studies routinely measure excitation and response, compare prediction against a reference assay and report error across fruit.</t>
        </is>
      </c>
      <c r="E175" s="10" t="n">
        <v>18</v>
      </c>
      <c r="F175" s="10" t="inlineStr">
        <is>
          <t>No</t>
        </is>
      </c>
      <c r="G175" s="10" t="inlineStr">
        <is>
          <t>No</t>
        </is>
      </c>
      <c r="H175" s="10" t="n">
        <v>3</v>
      </c>
      <c r="I175" s="10" t="inlineStr"/>
      <c r="J175" s="10" t="inlineStr">
        <is>
          <t>Replace noun-heavy phrasing</t>
        </is>
      </c>
      <c r="K175" s="10" t="inlineStr">
        <is>
          <t>Not reviewed</t>
        </is>
      </c>
      <c r="L175" s="10" t="inlineStr"/>
    </row>
    <row r="176">
      <c r="A176" s="10" t="inlineStr">
        <is>
          <t>4.3 Acoustic sensing supplies the strongest industrial comparator</t>
        </is>
      </c>
      <c r="B176" s="10" t="n">
        <v>83</v>
      </c>
      <c r="C176" s="10" t="n">
        <v>4</v>
      </c>
      <c r="D176" s="10" t="inlineStr">
        <is>
          <t>Their strongest lesson is methodological: exposure and decision variables must be observable and calibrated.</t>
        </is>
      </c>
      <c r="E176" s="10" t="n">
        <v>14</v>
      </c>
      <c r="F176" s="10" t="inlineStr">
        <is>
          <t>No</t>
        </is>
      </c>
      <c r="G176" s="10" t="inlineStr">
        <is>
          <t>Yes</t>
        </is>
      </c>
      <c r="H176" s="10" t="n">
        <v>2</v>
      </c>
      <c r="I176" s="10" t="inlineStr"/>
      <c r="J176" s="10" t="inlineStr">
        <is>
          <t>Consider active voice</t>
        </is>
      </c>
      <c r="K176" s="10" t="inlineStr">
        <is>
          <t>Not reviewed</t>
        </is>
      </c>
      <c r="L176" s="10" t="inlineStr"/>
    </row>
    <row r="177">
      <c r="A177" s="10" t="inlineStr">
        <is>
          <t>4.3 Acoustic sensing supplies the strongest industrial comparator</t>
        </is>
      </c>
      <c r="B177" s="10" t="n">
        <v>84</v>
      </c>
      <c r="C177" s="10" t="n">
        <v>1</v>
      </c>
      <c r="D177" s="10" t="inlineStr">
        <is>
          <t>Sensing does not prove that driving a measured mode is beneficial.</t>
        </is>
      </c>
      <c r="E177" s="10" t="n">
        <v>11</v>
      </c>
      <c r="F177" s="10" t="inlineStr">
        <is>
          <t>No</t>
        </is>
      </c>
      <c r="G177" s="10" t="inlineStr">
        <is>
          <t>No</t>
        </is>
      </c>
      <c r="H177" s="10" t="n">
        <v>1</v>
      </c>
      <c r="I177" s="10" t="inlineStr"/>
      <c r="J177" s="10" t="inlineStr"/>
      <c r="K177" s="10" t="inlineStr">
        <is>
          <t>Not reviewed</t>
        </is>
      </c>
      <c r="L177" s="10" t="inlineStr"/>
    </row>
    <row r="178">
      <c r="A178" s="10" t="inlineStr">
        <is>
          <t>4.3 Acoustic sensing supplies the strongest industrial comparator</t>
        </is>
      </c>
      <c r="B178" s="10" t="n">
        <v>84</v>
      </c>
      <c r="C178" s="10" t="n">
        <v>2</v>
      </c>
      <c r="D178" s="10" t="inlineStr">
        <is>
          <t>A feature correlated with firmness can predict a state without being a safe actuation target.</t>
        </is>
      </c>
      <c r="E178" s="10" t="n">
        <v>15</v>
      </c>
      <c r="F178" s="10" t="inlineStr">
        <is>
          <t>No</t>
        </is>
      </c>
      <c r="G178" s="10" t="inlineStr">
        <is>
          <t>No</t>
        </is>
      </c>
      <c r="H178" s="10" t="n">
        <v>1</v>
      </c>
      <c r="I178" s="10" t="inlineStr"/>
      <c r="J178" s="10" t="inlineStr"/>
      <c r="K178" s="10" t="inlineStr">
        <is>
          <t>Not reviewed</t>
        </is>
      </c>
      <c r="L178" s="10" t="inlineStr"/>
    </row>
    <row r="179">
      <c r="A179" s="10" t="inlineStr">
        <is>
          <t>4.3 Acoustic sensing supplies the strongest industrial comparator</t>
        </is>
      </c>
      <c r="B179" s="10" t="n">
        <v>84</v>
      </c>
      <c r="C179" s="10" t="n">
        <v>3</v>
      </c>
      <c r="D179" s="10" t="inlineStr">
        <is>
          <t>Negative results matter: acoustic impulse methods do not predict every commodity equally well [81], and one scalar resonance index can confound geometry with material state.</t>
        </is>
      </c>
      <c r="E179" s="10" t="n">
        <v>25</v>
      </c>
      <c r="F179" s="10" t="inlineStr">
        <is>
          <t>No</t>
        </is>
      </c>
      <c r="G179" s="10" t="inlineStr">
        <is>
          <t>No</t>
        </is>
      </c>
      <c r="H179" s="10" t="n">
        <v>3</v>
      </c>
      <c r="I179" s="10" t="inlineStr"/>
      <c r="J179" s="10" t="inlineStr">
        <is>
          <t>Replace noun-heavy phrasing</t>
        </is>
      </c>
      <c r="K179" s="10" t="inlineStr">
        <is>
          <t>Not reviewed</t>
        </is>
      </c>
      <c r="L179" s="10" t="inlineStr"/>
    </row>
    <row r="180">
      <c r="A180" s="10" t="inlineStr">
        <is>
          <t>4.3 Acoustic sensing supplies the strongest industrial comparator</t>
        </is>
      </c>
      <c r="B180" s="10" t="n">
        <v>84</v>
      </c>
      <c r="C180" s="10" t="n">
        <v>4</v>
      </c>
      <c r="D180" s="10" t="inlineStr">
        <is>
          <t>Multimodal sensing is preferable when the decision has economic or safety consequences.</t>
        </is>
      </c>
      <c r="E180" s="10" t="n">
        <v>12</v>
      </c>
      <c r="F180" s="10" t="inlineStr">
        <is>
          <t>No</t>
        </is>
      </c>
      <c r="G180" s="10" t="inlineStr">
        <is>
          <t>Yes</t>
        </is>
      </c>
      <c r="H180" s="10" t="n">
        <v>2</v>
      </c>
      <c r="I180" s="10" t="inlineStr"/>
      <c r="J180" s="10" t="inlineStr">
        <is>
          <t>Consider active voice</t>
        </is>
      </c>
      <c r="K180" s="10" t="inlineStr">
        <is>
          <t>Not reviewed</t>
        </is>
      </c>
      <c r="L180" s="10" t="inlineStr"/>
    </row>
    <row r="181">
      <c r="A181" s="10" t="inlineStr">
        <is>
          <t>4.4 Liquid power ultrasound supplies metrology lessons</t>
        </is>
      </c>
      <c r="B181" s="10" t="n">
        <v>86</v>
      </c>
      <c r="C181" s="10" t="n">
        <v>1</v>
      </c>
      <c r="D181" s="10" t="inlineStr">
        <is>
          <t>Liquid power ultrasound spans washing, microbial reduction, extraction, enzyme modification, mass transfer and quality change [1–13,39–61].</t>
        </is>
      </c>
      <c r="E181" s="10" t="n">
        <v>19</v>
      </c>
      <c r="F181" s="10" t="inlineStr">
        <is>
          <t>No</t>
        </is>
      </c>
      <c r="G181" s="10" t="inlineStr">
        <is>
          <t>No</t>
        </is>
      </c>
      <c r="H181" s="10" t="n">
        <v>4</v>
      </c>
      <c r="I181" s="10" t="inlineStr"/>
      <c r="J181" s="10" t="inlineStr">
        <is>
          <t>Replace noun-heavy phrasing</t>
        </is>
      </c>
      <c r="K181" s="10" t="inlineStr">
        <is>
          <t>Not reviewed</t>
        </is>
      </c>
      <c r="L181" s="10" t="inlineStr"/>
    </row>
    <row r="182">
      <c r="A182" s="10" t="inlineStr">
        <is>
          <t>4.4 Liquid power ultrasound supplies metrology lessons</t>
        </is>
      </c>
      <c r="B182" s="10" t="n">
        <v>86</v>
      </c>
      <c r="C182" s="10" t="n">
        <v>2</v>
      </c>
      <c r="D182" s="10" t="inlineStr">
        <is>
          <t>Its mechanisms include cavitation, streaming, microjets, interfacial shear, radical chemistry and heating.</t>
        </is>
      </c>
      <c r="E182" s="10" t="n">
        <v>12</v>
      </c>
      <c r="F182" s="10" t="inlineStr">
        <is>
          <t>No</t>
        </is>
      </c>
      <c r="G182" s="10" t="inlineStr">
        <is>
          <t>No</t>
        </is>
      </c>
      <c r="H182" s="10" t="n">
        <v>3</v>
      </c>
      <c r="I182" s="10" t="inlineStr"/>
      <c r="J182" s="10" t="inlineStr">
        <is>
          <t>Replace noun-heavy phrasing</t>
        </is>
      </c>
      <c r="K182" s="10" t="inlineStr">
        <is>
          <t>Not reviewed</t>
        </is>
      </c>
      <c r="L182" s="10" t="inlineStr"/>
    </row>
    <row r="183">
      <c r="A183" s="10" t="inlineStr">
        <is>
          <t>4.4 Liquid power ultrasound supplies metrology lessons</t>
        </is>
      </c>
      <c r="B183" s="10" t="n">
        <v>86</v>
      </c>
      <c r="C183" s="10" t="n">
        <v>3</v>
      </c>
      <c r="D183" s="10" t="inlineStr">
        <is>
          <t>Those mechanisms cannot be transferred to ordinary airborne audible fields by analogy.</t>
        </is>
      </c>
      <c r="E183" s="10" t="n">
        <v>12</v>
      </c>
      <c r="F183" s="10" t="inlineStr">
        <is>
          <t>No</t>
        </is>
      </c>
      <c r="G183" s="10" t="inlineStr">
        <is>
          <t>Yes</t>
        </is>
      </c>
      <c r="H183" s="10" t="n">
        <v>0</v>
      </c>
      <c r="I183" s="10" t="inlineStr"/>
      <c r="J183" s="10" t="inlineStr">
        <is>
          <t>Consider active voice</t>
        </is>
      </c>
      <c r="K183" s="10" t="inlineStr">
        <is>
          <t>Not reviewed</t>
        </is>
      </c>
      <c r="L183" s="10" t="inlineStr"/>
    </row>
    <row r="184">
      <c r="A184" s="10" t="inlineStr">
        <is>
          <t>4.4 Liquid power ultrasound supplies metrology lessons</t>
        </is>
      </c>
      <c r="B184" s="10" t="n">
        <v>86</v>
      </c>
      <c r="C184" s="10" t="n">
        <v>4</v>
      </c>
      <c r="D184" s="10" t="inlineStr">
        <is>
          <t>The literature does, however, establish a critical engineering principle: nominal generator wattage does not specify exposure in a loaded bath.</t>
        </is>
      </c>
      <c r="E184" s="10" t="n">
        <v>20</v>
      </c>
      <c r="F184" s="10" t="inlineStr">
        <is>
          <t>No</t>
        </is>
      </c>
      <c r="G184" s="10" t="inlineStr">
        <is>
          <t>No</t>
        </is>
      </c>
      <c r="H184" s="10" t="n">
        <v>2</v>
      </c>
      <c r="I184" s="10" t="inlineStr"/>
      <c r="J184" s="10" t="inlineStr"/>
      <c r="K184" s="10" t="inlineStr">
        <is>
          <t>Not reviewed</t>
        </is>
      </c>
      <c r="L184" s="10" t="inlineStr"/>
    </row>
    <row r="185">
      <c r="A185" s="10" t="inlineStr">
        <is>
          <t>4.4 Liquid power ultrasound supplies metrology lessons</t>
        </is>
      </c>
      <c r="B185" s="10" t="n">
        <v>87</v>
      </c>
      <c r="C185" s="10" t="n">
        <v>1</v>
      </c>
      <c r="D185" s="10" t="inlineStr">
        <is>
          <t>Calorimetry estimates the initial bulk acoustic power converted to heat:</t>
        </is>
      </c>
      <c r="E185" s="10" t="n">
        <v>10</v>
      </c>
      <c r="F185" s="10" t="inlineStr">
        <is>
          <t>No</t>
        </is>
      </c>
      <c r="G185" s="10" t="inlineStr">
        <is>
          <t>No</t>
        </is>
      </c>
      <c r="H185" s="10" t="n">
        <v>1</v>
      </c>
      <c r="I185" s="10" t="inlineStr"/>
      <c r="J185" s="10" t="inlineStr"/>
      <c r="K185" s="10" t="inlineStr">
        <is>
          <t>Not reviewed</t>
        </is>
      </c>
      <c r="L185" s="10" t="inlineStr"/>
    </row>
    <row r="186">
      <c r="A186" s="10" t="inlineStr">
        <is>
          <t>4.4 Liquid power ultrasound supplies metrology lessons</t>
        </is>
      </c>
      <c r="B186" s="10" t="n">
        <v>88</v>
      </c>
      <c r="C186" s="10" t="n">
        <v>1</v>
      </c>
      <c r="D186" s="10" t="inlineStr">
        <is>
          <t>Equation 6</t>
        </is>
      </c>
      <c r="E186" s="10" t="n">
        <v>2</v>
      </c>
      <c r="F186" s="10" t="inlineStr">
        <is>
          <t>No</t>
        </is>
      </c>
      <c r="G186" s="10" t="inlineStr">
        <is>
          <t>No</t>
        </is>
      </c>
      <c r="H186" s="10" t="n">
        <v>1</v>
      </c>
      <c r="I186" s="10" t="inlineStr"/>
      <c r="J186" s="10" t="inlineStr"/>
      <c r="K186" s="10" t="inlineStr">
        <is>
          <t>Not reviewed</t>
        </is>
      </c>
      <c r="L186" s="10" t="inlineStr"/>
    </row>
    <row r="187">
      <c r="A187" s="10" t="inlineStr">
        <is>
          <t>4.4 Liquid power ultrasound supplies metrology lessons</t>
        </is>
      </c>
      <c r="B187" s="10" t="n">
        <v>89</v>
      </c>
      <c r="C187" s="10" t="n">
        <v>1</v>
      </c>
      <c r="D187" s="10" t="inlineStr">
        <is>
          <t>Calorimetry remains a bulk measure.</t>
        </is>
      </c>
      <c r="E187" s="10" t="n">
        <v>5</v>
      </c>
      <c r="F187" s="10" t="inlineStr">
        <is>
          <t>No</t>
        </is>
      </c>
      <c r="G187" s="10" t="inlineStr">
        <is>
          <t>No</t>
        </is>
      </c>
      <c r="H187" s="10" t="n">
        <v>0</v>
      </c>
      <c r="I187" s="10" t="inlineStr"/>
      <c r="J187" s="10" t="inlineStr"/>
      <c r="K187" s="10" t="inlineStr">
        <is>
          <t>Not reviewed</t>
        </is>
      </c>
      <c r="L187" s="10" t="inlineStr"/>
    </row>
    <row r="188">
      <c r="A188" s="10" t="inlineStr">
        <is>
          <t>4.4 Liquid power ultrasound supplies metrology lessons</t>
        </is>
      </c>
      <c r="B188" s="10" t="n">
        <v>89</v>
      </c>
      <c r="C188" s="10" t="n">
        <v>2</v>
      </c>
      <c r="D188" s="10" t="inlineStr">
        <is>
          <t>Hydrophone or cavitometer mapping, passive cavitation spectra, chemical dosimetry, temperature and dissolved-gas measurements are complementary because bubble activity is spatially heterogeneous [62–66].</t>
        </is>
      </c>
      <c r="E188" s="10" t="n">
        <v>23</v>
      </c>
      <c r="F188" s="10" t="inlineStr">
        <is>
          <t>No</t>
        </is>
      </c>
      <c r="G188" s="10" t="inlineStr">
        <is>
          <t>No</t>
        </is>
      </c>
      <c r="H188" s="10" t="n">
        <v>3</v>
      </c>
      <c r="I188" s="10" t="inlineStr"/>
      <c r="J188" s="10" t="inlineStr">
        <is>
          <t>Replace noun-heavy phrasing</t>
        </is>
      </c>
      <c r="K188" s="10" t="inlineStr">
        <is>
          <t>Not reviewed</t>
        </is>
      </c>
      <c r="L188" s="10" t="inlineStr"/>
    </row>
    <row r="189">
      <c r="A189" s="10" t="inlineStr">
        <is>
          <t>4.4 Liquid power ultrasound supplies metrology lessons</t>
        </is>
      </c>
      <c r="B189" s="10" t="n">
        <v>89</v>
      </c>
      <c r="C189" s="10" t="n">
        <v>3</v>
      </c>
      <c r="D189" s="10" t="inlineStr">
        <is>
          <t>Basket geometry, liquid depth and product load can reshape the field [13,67–70].</t>
        </is>
      </c>
      <c r="E189" s="10" t="n">
        <v>14</v>
      </c>
      <c r="F189" s="10" t="inlineStr">
        <is>
          <t>No</t>
        </is>
      </c>
      <c r="G189" s="10" t="inlineStr">
        <is>
          <t>No</t>
        </is>
      </c>
      <c r="H189" s="10" t="n">
        <v>0</v>
      </c>
      <c r="I189" s="10" t="inlineStr"/>
      <c r="J189" s="10" t="inlineStr"/>
      <c r="K189" s="10" t="inlineStr">
        <is>
          <t>Not reviewed</t>
        </is>
      </c>
      <c r="L189" s="10" t="inlineStr"/>
    </row>
    <row r="190">
      <c r="A190" s="10" t="inlineStr">
        <is>
          <t>4.4 Liquid power ultrasound supplies metrology lessons</t>
        </is>
      </c>
      <c r="B190" s="10" t="n">
        <v>89</v>
      </c>
      <c r="C190" s="10" t="n">
        <v>4</v>
      </c>
      <c r="D190" s="10" t="inlineStr">
        <is>
          <t>Airborne systems face the same metrology problem with different variables: pressure and particle-velocity maps, fruit-surface velocity, support acceleration, airflow, humidity and temperature.</t>
        </is>
      </c>
      <c r="E190" s="10" t="n">
        <v>22</v>
      </c>
      <c r="F190" s="10" t="inlineStr">
        <is>
          <t>No</t>
        </is>
      </c>
      <c r="G190" s="10" t="inlineStr">
        <is>
          <t>No</t>
        </is>
      </c>
      <c r="H190" s="10" t="n">
        <v>1</v>
      </c>
      <c r="I190" s="10" t="inlineStr"/>
      <c r="J190" s="10" t="inlineStr"/>
      <c r="K190" s="10" t="inlineStr">
        <is>
          <t>Not reviewed</t>
        </is>
      </c>
      <c r="L190" s="10" t="inlineStr"/>
    </row>
    <row r="191">
      <c r="A191" s="10" t="inlineStr">
        <is>
          <t>4.5 Biological plausibility does not establish the upstream route</t>
        </is>
      </c>
      <c r="B191" s="10" t="n">
        <v>91</v>
      </c>
      <c r="C191" s="10" t="n">
        <v>1</v>
      </c>
      <c r="D191" s="10" t="inlineStr">
        <is>
          <t>Mechanosensitive calcium-permeable channels offer a plausible interface between tissue deformation and signalling.</t>
        </is>
      </c>
      <c r="E191" s="10" t="n">
        <v>12</v>
      </c>
      <c r="F191" s="10" t="inlineStr">
        <is>
          <t>No</t>
        </is>
      </c>
      <c r="G191" s="10" t="inlineStr">
        <is>
          <t>No</t>
        </is>
      </c>
      <c r="H191" s="10" t="n">
        <v>1</v>
      </c>
      <c r="I191" s="10" t="inlineStr"/>
      <c r="J191" s="10" t="inlineStr"/>
      <c r="K191" s="10" t="inlineStr">
        <is>
          <t>Not reviewed</t>
        </is>
      </c>
      <c r="L191" s="10" t="inlineStr"/>
    </row>
    <row r="192">
      <c r="A192" s="10" t="inlineStr">
        <is>
          <t>4.5 Biological plausibility does not establish the upstream route</t>
        </is>
      </c>
      <c r="B192" s="10" t="n">
        <v>91</v>
      </c>
      <c r="C192" s="10" t="n">
        <v>2</v>
      </c>
      <c r="D192" s="10" t="inlineStr">
        <is>
          <t>Studies of MCA-family channels and mechanically stimulated cells support membrane-tension-dependent calcium entry, and cellular work links mechanical force with rapid calcium, reactive-oxygen and pH dynamics [85–87].</t>
        </is>
      </c>
      <c r="E192" s="10" t="n">
        <v>27</v>
      </c>
      <c r="F192" s="10" t="inlineStr">
        <is>
          <t>Yes</t>
        </is>
      </c>
      <c r="G192" s="10" t="inlineStr">
        <is>
          <t>No</t>
        </is>
      </c>
      <c r="H192" s="10" t="n">
        <v>2</v>
      </c>
      <c r="I192" s="10" t="inlineStr"/>
      <c r="J192" s="10" t="inlineStr">
        <is>
          <t>Split or simplify</t>
        </is>
      </c>
      <c r="K192" s="10" t="inlineStr">
        <is>
          <t>Not reviewed</t>
        </is>
      </c>
      <c r="L192" s="10" t="inlineStr"/>
    </row>
    <row r="193">
      <c r="A193" s="10" t="inlineStr">
        <is>
          <t>4.5 Biological plausibility does not establish the upstream route</t>
        </is>
      </c>
      <c r="B193" s="10" t="n">
        <v>91</v>
      </c>
      <c r="C193" s="10" t="n">
        <v>3</v>
      </c>
      <c r="D193" s="10" t="inlineStr">
        <is>
          <t>Plant sound-response studies report transcriptional, proteomic and hormonal changes but acknowledge unresolved receptors and exposure definitions [88,89].</t>
        </is>
      </c>
      <c r="E193" s="10" t="n">
        <v>18</v>
      </c>
      <c r="F193" s="10" t="inlineStr">
        <is>
          <t>No</t>
        </is>
      </c>
      <c r="G193" s="10" t="inlineStr">
        <is>
          <t>No</t>
        </is>
      </c>
      <c r="H193" s="10" t="n">
        <v>2</v>
      </c>
      <c r="I193" s="10" t="inlineStr"/>
      <c r="J193" s="10" t="inlineStr"/>
      <c r="K193" s="10" t="inlineStr">
        <is>
          <t>Not reviewed</t>
        </is>
      </c>
      <c r="L193" s="10" t="inlineStr"/>
    </row>
    <row r="194">
      <c r="A194" s="10" t="inlineStr">
        <is>
          <t>4.5 Biological plausibility does not establish the upstream route</t>
        </is>
      </c>
      <c r="B194" s="10" t="n">
        <v>91</v>
      </c>
      <c r="C194" s="10" t="n">
        <v>4</v>
      </c>
      <c r="D194" s="10" t="inlineStr">
        <is>
          <t>Calibrated cell-suspension work is consistent with exposure-dependent calcium and viability changes [90].</t>
        </is>
      </c>
      <c r="E194" s="10" t="n">
        <v>12</v>
      </c>
      <c r="F194" s="10" t="inlineStr">
        <is>
          <t>No</t>
        </is>
      </c>
      <c r="G194" s="10" t="inlineStr">
        <is>
          <t>No</t>
        </is>
      </c>
      <c r="H194" s="10" t="n">
        <v>2</v>
      </c>
      <c r="I194" s="10" t="inlineStr"/>
      <c r="J194" s="10" t="inlineStr"/>
      <c r="K194" s="10" t="inlineStr">
        <is>
          <t>Not reviewed</t>
        </is>
      </c>
      <c r="L194" s="10" t="inlineStr"/>
    </row>
    <row r="195">
      <c r="A195" s="10" t="inlineStr">
        <is>
          <t>4.5 Biological plausibility does not establish the upstream route</t>
        </is>
      </c>
      <c r="B195" s="10" t="n">
        <v>92</v>
      </c>
      <c r="C195" s="10" t="n">
        <v>1</v>
      </c>
      <c r="D195" s="10" t="inlineStr">
        <is>
          <t>These findings establish plausibility, not proof that a loudspeaker creates biologically meaningful strain in intact fruit.</t>
        </is>
      </c>
      <c r="E195" s="10" t="n">
        <v>16</v>
      </c>
      <c r="F195" s="10" t="inlineStr">
        <is>
          <t>No</t>
        </is>
      </c>
      <c r="G195" s="10" t="inlineStr">
        <is>
          <t>No</t>
        </is>
      </c>
      <c r="H195" s="10" t="n">
        <v>1</v>
      </c>
      <c r="I195" s="10" t="inlineStr"/>
      <c r="J195" s="10" t="inlineStr"/>
      <c r="K195" s="10" t="inlineStr">
        <is>
          <t>Not reviewed</t>
        </is>
      </c>
      <c r="L195" s="10" t="inlineStr"/>
    </row>
    <row r="196">
      <c r="A196" s="10" t="inlineStr">
        <is>
          <t>4.5 Biological plausibility does not establish the upstream route</t>
        </is>
      </c>
      <c r="B196" s="10" t="n">
        <v>92</v>
      </c>
      <c r="C196" s="10" t="n">
        <v>2</v>
      </c>
      <c r="D196" s="10" t="inlineStr">
        <is>
          <t>A mechanistic claim requires temporal closure: receiver motion should precede calcium, redox or pH responses; hormone and transcriptional changes should follow; and durable quality should emerge later.</t>
        </is>
      </c>
      <c r="E196" s="10" t="n">
        <v>27</v>
      </c>
      <c r="F196" s="10" t="inlineStr">
        <is>
          <t>Yes</t>
        </is>
      </c>
      <c r="G196" s="10" t="inlineStr">
        <is>
          <t>No</t>
        </is>
      </c>
      <c r="H196" s="10" t="n">
        <v>3</v>
      </c>
      <c r="I196" s="10" t="inlineStr"/>
      <c r="J196" s="10" t="inlineStr">
        <is>
          <t>Split or simplify; Replace noun-heavy phrasing</t>
        </is>
      </c>
      <c r="K196" s="10" t="inlineStr">
        <is>
          <t>Not reviewed</t>
        </is>
      </c>
      <c r="L196" s="10" t="inlineStr"/>
    </row>
    <row r="197">
      <c r="A197" s="10" t="inlineStr">
        <is>
          <t>4.5 Biological plausibility does not establish the upstream route</t>
        </is>
      </c>
      <c r="B197" s="10" t="n">
        <v>92</v>
      </c>
      <c r="C197" s="10" t="n">
        <v>3</v>
      </c>
      <c r="D197" s="10" t="inlineStr">
        <is>
          <t>A selective perturbation should attenuate the proposed chain without creating a different stress.</t>
        </is>
      </c>
      <c r="E197" s="10" t="n">
        <v>13</v>
      </c>
      <c r="F197" s="10" t="inlineStr">
        <is>
          <t>No</t>
        </is>
      </c>
      <c r="G197" s="10" t="inlineStr">
        <is>
          <t>No</t>
        </is>
      </c>
      <c r="H197" s="10" t="n">
        <v>1</v>
      </c>
      <c r="I197" s="10" t="inlineStr"/>
      <c r="J197" s="10" t="inlineStr"/>
      <c r="K197" s="10" t="inlineStr">
        <is>
          <t>Not reviewed</t>
        </is>
      </c>
      <c r="L197" s="10" t="inlineStr"/>
    </row>
    <row r="198">
      <c r="A198" s="10" t="inlineStr">
        <is>
          <t>4.5 Biological plausibility does not establish the upstream route</t>
        </is>
      </c>
      <c r="B198" s="10" t="n">
        <v>92</v>
      </c>
      <c r="C198" s="10" t="n">
        <v>4</v>
      </c>
      <c r="D198" s="10" t="inlineStr">
        <is>
          <t>If the order is absent or reversed, the mediator is unsupported even when endpoints differ.</t>
        </is>
      </c>
      <c r="E198" s="10" t="n">
        <v>15</v>
      </c>
      <c r="F198" s="10" t="inlineStr">
        <is>
          <t>No</t>
        </is>
      </c>
      <c r="G198" s="10" t="inlineStr">
        <is>
          <t>Yes</t>
        </is>
      </c>
      <c r="H198" s="10" t="n">
        <v>0</v>
      </c>
      <c r="I198" s="10" t="inlineStr"/>
      <c r="J198" s="10" t="inlineStr">
        <is>
          <t>Consider active voice</t>
        </is>
      </c>
      <c r="K198" s="10" t="inlineStr">
        <is>
          <t>Not reviewed</t>
        </is>
      </c>
      <c r="L198" s="10" t="inlineStr"/>
    </row>
    <row r="199">
      <c r="A199" s="10" t="inlineStr">
        <is>
          <t>5. Contradictions reveal hidden exposure variables</t>
        </is>
      </c>
      <c r="B199" s="10" t="n">
        <v>94</v>
      </c>
      <c r="C199" s="10" t="n">
        <v>1</v>
      </c>
      <c r="D199" s="10" t="inlineStr">
        <is>
          <t>The literature appears inconsistent when studies are grouped by hertz or by a single terminal endpoint.</t>
        </is>
      </c>
      <c r="E199" s="10" t="n">
        <v>16</v>
      </c>
      <c r="F199" s="10" t="inlineStr">
        <is>
          <t>No</t>
        </is>
      </c>
      <c r="G199" s="10" t="inlineStr">
        <is>
          <t>Yes</t>
        </is>
      </c>
      <c r="H199" s="10" t="n">
        <v>1</v>
      </c>
      <c r="I199" s="10" t="inlineStr"/>
      <c r="J199" s="10" t="inlineStr">
        <is>
          <t>Consider active voice</t>
        </is>
      </c>
      <c r="K199" s="10" t="inlineStr">
        <is>
          <t>Not reviewed</t>
        </is>
      </c>
      <c r="L199" s="10" t="inlineStr"/>
    </row>
    <row r="200">
      <c r="A200" s="10" t="inlineStr">
        <is>
          <t>5. Contradictions reveal hidden exposure variables</t>
        </is>
      </c>
      <c r="B200" s="10" t="n">
        <v>94</v>
      </c>
      <c r="C200" s="10" t="n">
        <v>2</v>
      </c>
      <c r="D200" s="10" t="inlineStr">
        <is>
          <t>The contradictions become more interpretable when the comparison shifts to receiver state, transfer route, exposure history and measurement timing.</t>
        </is>
      </c>
      <c r="E200" s="10" t="n">
        <v>19</v>
      </c>
      <c r="F200" s="10" t="inlineStr">
        <is>
          <t>No</t>
        </is>
      </c>
      <c r="G200" s="10" t="inlineStr">
        <is>
          <t>No</t>
        </is>
      </c>
      <c r="H200" s="10" t="n">
        <v>1</v>
      </c>
      <c r="I200" s="10" t="inlineStr"/>
      <c r="J200" s="10" t="inlineStr"/>
      <c r="K200" s="10" t="inlineStr">
        <is>
          <t>Not reviewed</t>
        </is>
      </c>
      <c r="L200" s="10" t="inlineStr"/>
    </row>
    <row r="201">
      <c r="A201" s="10" t="inlineStr">
        <is>
          <t>5. Contradictions reveal hidden exposure variables</t>
        </is>
      </c>
      <c r="B201" s="10" t="n">
        <v>94</v>
      </c>
      <c r="C201" s="10" t="n">
        <v>3</v>
      </c>
      <c r="D201" s="10" t="inlineStr">
        <is>
          <t>Figure 3 combines the study-level evidence gap with the principal contradiction-to-design pathways.</t>
        </is>
      </c>
      <c r="E201" s="10" t="n">
        <v>12</v>
      </c>
      <c r="F201" s="10" t="inlineStr">
        <is>
          <t>No</t>
        </is>
      </c>
      <c r="G201" s="10" t="inlineStr">
        <is>
          <t>No</t>
        </is>
      </c>
      <c r="H201" s="10" t="n">
        <v>3</v>
      </c>
      <c r="I201" s="10" t="inlineStr"/>
      <c r="J201" s="10" t="inlineStr">
        <is>
          <t>Replace noun-heavy phrasing</t>
        </is>
      </c>
      <c r="K201" s="10" t="inlineStr">
        <is>
          <t>Not reviewed</t>
        </is>
      </c>
      <c r="L201" s="10" t="inlineStr"/>
    </row>
    <row r="202">
      <c r="A202" s="10" t="inlineStr">
        <is>
          <t>5. Contradictions reveal hidden exposure variables</t>
        </is>
      </c>
      <c r="B202" s="10" t="n">
        <v>97</v>
      </c>
      <c r="C202" s="10" t="n">
        <v>1</v>
      </c>
      <c r="D202" s="10" t="inlineStr">
        <is>
          <t>Figure 3.</t>
        </is>
      </c>
      <c r="E202" s="10" t="n">
        <v>2</v>
      </c>
      <c r="F202" s="10" t="inlineStr">
        <is>
          <t>No</t>
        </is>
      </c>
      <c r="G202" s="10" t="inlineStr">
        <is>
          <t>No</t>
        </is>
      </c>
      <c r="H202" s="10" t="n">
        <v>0</v>
      </c>
      <c r="I202" s="10" t="inlineStr"/>
      <c r="J202" s="10" t="inlineStr"/>
      <c r="K202" s="10" t="inlineStr">
        <is>
          <t>Not reviewed</t>
        </is>
      </c>
      <c r="L202" s="10" t="inlineStr"/>
    </row>
    <row r="203">
      <c r="A203" s="10" t="inlineStr">
        <is>
          <t>5. Contradictions reveal hidden exposure variables</t>
        </is>
      </c>
      <c r="B203" s="10" t="n">
        <v>97</v>
      </c>
      <c r="C203" s="10" t="n">
        <v>2</v>
      </c>
      <c r="D203" s="10" t="inlineStr">
        <is>
          <t>Evidence gaps and contradiction resolution.</t>
        </is>
      </c>
      <c r="E203" s="10" t="n">
        <v>5</v>
      </c>
      <c r="F203" s="10" t="inlineStr">
        <is>
          <t>No</t>
        </is>
      </c>
      <c r="G203" s="10" t="inlineStr">
        <is>
          <t>No</t>
        </is>
      </c>
      <c r="H203" s="10" t="n">
        <v>3</v>
      </c>
      <c r="I203" s="10" t="inlineStr"/>
      <c r="J203" s="10" t="inlineStr">
        <is>
          <t>Replace noun-heavy phrasing</t>
        </is>
      </c>
      <c r="K203" s="10" t="inlineStr">
        <is>
          <t>Not reviewed</t>
        </is>
      </c>
      <c r="L203" s="10" t="inlineStr"/>
    </row>
    <row r="204">
      <c r="A204" s="10" t="inlineStr">
        <is>
          <t>5. Contradictions reveal hidden exposure variables</t>
        </is>
      </c>
      <c r="B204" s="10" t="n">
        <v>97</v>
      </c>
      <c r="C204" s="10" t="n">
        <v>3</v>
      </c>
      <c r="D204" s="10" t="inlineStr">
        <is>
          <t>The upper heatmap grades the physical and experimental links reported by seven retained airborne-fruit studies.</t>
        </is>
      </c>
      <c r="E204" s="10" t="n">
        <v>15</v>
      </c>
      <c r="F204" s="10" t="inlineStr">
        <is>
          <t>No</t>
        </is>
      </c>
      <c r="G204" s="10" t="inlineStr">
        <is>
          <t>No</t>
        </is>
      </c>
      <c r="H204" s="10" t="n">
        <v>2</v>
      </c>
      <c r="I204" s="10" t="inlineStr"/>
      <c r="J204" s="10" t="inlineStr"/>
      <c r="K204" s="10" t="inlineStr">
        <is>
          <t>Not reviewed</t>
        </is>
      </c>
      <c r="L204" s="10" t="inlineStr"/>
    </row>
    <row r="205">
      <c r="A205" s="10" t="inlineStr">
        <is>
          <t>5. Contradictions reveal hidden exposure variables</t>
        </is>
      </c>
      <c r="B205" s="10" t="n">
        <v>97</v>
      </c>
      <c r="C205" s="10" t="n">
        <v>4</v>
      </c>
      <c r="D205" s="10" t="inlineStr">
        <is>
          <t>The lower matrix converts apparent disagreement into hidden variables and discriminating measurements.</t>
        </is>
      </c>
      <c r="E205" s="10" t="n">
        <v>12</v>
      </c>
      <c r="F205" s="10" t="inlineStr">
        <is>
          <t>No</t>
        </is>
      </c>
      <c r="G205" s="10" t="inlineStr">
        <is>
          <t>No</t>
        </is>
      </c>
      <c r="H205" s="10" t="n">
        <v>1</v>
      </c>
      <c r="I205" s="10" t="inlineStr"/>
      <c r="J205" s="10" t="inlineStr"/>
      <c r="K205" s="10" t="inlineStr">
        <is>
          <t>Not reviewed</t>
        </is>
      </c>
      <c r="L205" s="10" t="inlineStr"/>
    </row>
    <row r="206">
      <c r="A206" s="10" t="inlineStr">
        <is>
          <t>5. Contradictions reveal hidden exposure variables</t>
        </is>
      </c>
      <c r="B206" s="10" t="n">
        <v>97</v>
      </c>
      <c r="C206" s="10" t="n">
        <v>5</v>
      </c>
      <c r="D206" s="10" t="inlineStr">
        <is>
          <t>Grades describe the link being claimed, not the statistical significance of downstream outcomes.</t>
        </is>
      </c>
      <c r="E206" s="10" t="n">
        <v>13</v>
      </c>
      <c r="F206" s="10" t="inlineStr">
        <is>
          <t>No</t>
        </is>
      </c>
      <c r="G206" s="10" t="inlineStr">
        <is>
          <t>Yes</t>
        </is>
      </c>
      <c r="H206" s="10" t="n">
        <v>2</v>
      </c>
      <c r="I206" s="10" t="inlineStr"/>
      <c r="J206" s="10" t="inlineStr">
        <is>
          <t>Consider active voice</t>
        </is>
      </c>
      <c r="K206" s="10" t="inlineStr">
        <is>
          <t>Not reviewed</t>
        </is>
      </c>
      <c r="L206" s="10" t="inlineStr"/>
    </row>
    <row r="207">
      <c r="A207" s="10" t="inlineStr">
        <is>
          <t>5. Contradictions reveal hidden exposure variables</t>
        </is>
      </c>
      <c r="B207" s="10" t="n">
        <v>99</v>
      </c>
      <c r="C207" s="10" t="n">
        <v>1</v>
      </c>
      <c r="D207" s="10" t="inlineStr">
        <is>
          <t>Table 3.</t>
        </is>
      </c>
      <c r="E207" s="10" t="n">
        <v>2</v>
      </c>
      <c r="F207" s="10" t="inlineStr">
        <is>
          <t>No</t>
        </is>
      </c>
      <c r="G207" s="10" t="inlineStr">
        <is>
          <t>No</t>
        </is>
      </c>
      <c r="H207" s="10" t="n">
        <v>0</v>
      </c>
      <c r="I207" s="10" t="inlineStr"/>
      <c r="J207" s="10" t="inlineStr"/>
      <c r="K207" s="10" t="inlineStr">
        <is>
          <t>Not reviewed</t>
        </is>
      </c>
      <c r="L207" s="10" t="inlineStr"/>
    </row>
    <row r="208">
      <c r="A208" s="10" t="inlineStr">
        <is>
          <t>5. Contradictions reveal hidden exposure variables</t>
        </is>
      </c>
      <c r="B208" s="10" t="n">
        <v>99</v>
      </c>
      <c r="C208" s="10" t="n">
        <v>2</v>
      </c>
      <c r="D208" s="10" t="inlineStr">
        <is>
          <t>Contradictions, hidden variables and decisive experiments for receiver-centred acoustic processing.</t>
        </is>
      </c>
      <c r="E208" s="10" t="n">
        <v>10</v>
      </c>
      <c r="F208" s="10" t="inlineStr">
        <is>
          <t>No</t>
        </is>
      </c>
      <c r="G208" s="10" t="inlineStr">
        <is>
          <t>No</t>
        </is>
      </c>
      <c r="H208" s="10" t="n">
        <v>0</v>
      </c>
      <c r="I208" s="10" t="inlineStr"/>
      <c r="J208" s="10" t="inlineStr"/>
      <c r="K208" s="10" t="inlineStr">
        <is>
          <t>Not reviewed</t>
        </is>
      </c>
      <c r="L208" s="10" t="inlineStr"/>
    </row>
    <row r="209">
      <c r="A209" s="10" t="inlineStr">
        <is>
          <t>5. Contradictions reveal hidden exposure variables</t>
        </is>
      </c>
      <c r="B209" s="10" t="n">
        <v>100</v>
      </c>
      <c r="C209" s="10" t="n">
        <v>1</v>
      </c>
      <c r="D209" s="10" t="inlineStr">
        <is>
          <t>A receiver-centred claim survives only when its specified result occurs after rival transfer routes and state variables are bounded.</t>
        </is>
      </c>
      <c r="E209" s="10" t="n">
        <v>19</v>
      </c>
      <c r="F209" s="10" t="inlineStr">
        <is>
          <t>No</t>
        </is>
      </c>
      <c r="G209" s="10" t="inlineStr">
        <is>
          <t>Yes</t>
        </is>
      </c>
      <c r="H209" s="10" t="n">
        <v>1</v>
      </c>
      <c r="I209" s="10" t="inlineStr"/>
      <c r="J209" s="10" t="inlineStr">
        <is>
          <t>Consider active voice</t>
        </is>
      </c>
      <c r="K209" s="10" t="inlineStr">
        <is>
          <t>Not reviewed</t>
        </is>
      </c>
      <c r="L209" s="10" t="inlineStr"/>
    </row>
    <row r="210">
      <c r="A210" s="10" t="inlineStr">
        <is>
          <t>5.1 One kilohertz treatment versus low-order tomato modes</t>
        </is>
      </c>
      <c r="B210" s="10" t="n">
        <v>103</v>
      </c>
      <c r="C210" s="10" t="n">
        <v>1</v>
      </c>
      <c r="D210" s="10" t="inlineStr">
        <is>
          <t>Recent whole-fruit modelling and sweep tests report prominent low-order tomato modes in the tens of hertz, whereas the detached-fruit treatment lineage uses 1 kHz [24,26–30].</t>
        </is>
      </c>
      <c r="E210" s="10" t="n">
        <v>27</v>
      </c>
      <c r="F210" s="10" t="inlineStr">
        <is>
          <t>Yes</t>
        </is>
      </c>
      <c r="G210" s="10" t="inlineStr">
        <is>
          <t>No</t>
        </is>
      </c>
      <c r="H210" s="10" t="n">
        <v>1</v>
      </c>
      <c r="I210" s="10" t="inlineStr"/>
      <c r="J210" s="10" t="inlineStr">
        <is>
          <t>Split or simplify</t>
        </is>
      </c>
      <c r="K210" s="10" t="inlineStr">
        <is>
          <t>Not reviewed</t>
        </is>
      </c>
      <c r="L210" s="10" t="inlineStr"/>
    </row>
    <row r="211">
      <c r="A211" s="10" t="inlineStr">
        <is>
          <t>5.1 One kilohertz treatment versus low-order tomato modes</t>
        </is>
      </c>
      <c r="B211" s="10" t="n">
        <v>103</v>
      </c>
      <c r="C211" s="10" t="n">
        <v>2</v>
      </c>
      <c r="D211" s="10" t="inlineStr">
        <is>
          <t>This mismatch does not invalidate the reported biology.</t>
        </is>
      </c>
      <c r="E211" s="10" t="n">
        <v>8</v>
      </c>
      <c r="F211" s="10" t="inlineStr">
        <is>
          <t>No</t>
        </is>
      </c>
      <c r="G211" s="10" t="inlineStr">
        <is>
          <t>No</t>
        </is>
      </c>
      <c r="H211" s="10" t="n">
        <v>0</v>
      </c>
      <c r="I211" s="10" t="inlineStr"/>
      <c r="J211" s="10" t="inlineStr"/>
      <c r="K211" s="10" t="inlineStr">
        <is>
          <t>Not reviewed</t>
        </is>
      </c>
      <c r="L211" s="10" t="inlineStr"/>
    </row>
    <row r="212">
      <c r="A212" s="10" t="inlineStr">
        <is>
          <t>5.1 One kilohertz treatment versus low-order tomato modes</t>
        </is>
      </c>
      <c r="B212" s="10" t="n">
        <v>103</v>
      </c>
      <c r="C212" s="10" t="n">
        <v>3</v>
      </c>
      <c r="D212" s="10" t="inlineStr">
        <is>
          <t>A 1 kHz chamber may excite a higher-order fruit mode, a local peel mode, a tray mode or an enclosure mode.</t>
        </is>
      </c>
      <c r="E212" s="10" t="n">
        <v>21</v>
      </c>
      <c r="F212" s="10" t="inlineStr">
        <is>
          <t>No</t>
        </is>
      </c>
      <c r="G212" s="10" t="inlineStr">
        <is>
          <t>No</t>
        </is>
      </c>
      <c r="H212" s="10" t="n">
        <v>1</v>
      </c>
      <c r="I212" s="10" t="inlineStr"/>
      <c r="J212" s="10" t="inlineStr"/>
      <c r="K212" s="10" t="inlineStr">
        <is>
          <t>Not reviewed</t>
        </is>
      </c>
      <c r="L212" s="10" t="inlineStr"/>
    </row>
    <row r="213">
      <c r="A213" s="10" t="inlineStr">
        <is>
          <t>5.1 One kilohertz treatment versus low-order tomato modes</t>
        </is>
      </c>
      <c r="B213" s="10" t="n">
        <v>103</v>
      </c>
      <c r="C213" s="10" t="n">
        <v>4</v>
      </c>
      <c r="D213" s="10" t="inlineStr">
        <is>
          <t>It does invalidate an unmeasured statement that 1 kHz is “the resonance” of tomato.</t>
        </is>
      </c>
      <c r="E213" s="10" t="n">
        <v>14</v>
      </c>
      <c r="F213" s="10" t="inlineStr">
        <is>
          <t>No</t>
        </is>
      </c>
      <c r="G213" s="10" t="inlineStr">
        <is>
          <t>No</t>
        </is>
      </c>
      <c r="H213" s="10" t="n">
        <v>2</v>
      </c>
      <c r="I213" s="10" t="inlineStr"/>
      <c r="J213" s="10" t="inlineStr"/>
      <c r="K213" s="10" t="inlineStr">
        <is>
          <t>Not reviewed</t>
        </is>
      </c>
      <c r="L213" s="10" t="inlineStr"/>
    </row>
    <row r="214">
      <c r="A214" s="10" t="inlineStr">
        <is>
          <t>5.1 One kilohertz treatment versus low-order tomato modes</t>
        </is>
      </c>
      <c r="B214" s="10" t="n">
        <v>103</v>
      </c>
      <c r="C214" s="10" t="n">
        <v>5</v>
      </c>
      <c r="D214" s="10" t="inlineStr">
        <is>
          <t>A resonance claim requires a frequency-response function, a mode shape and fruit motion under the loaded treatment condition.</t>
        </is>
      </c>
      <c r="E214" s="10" t="n">
        <v>18</v>
      </c>
      <c r="F214" s="10" t="inlineStr">
        <is>
          <t>No</t>
        </is>
      </c>
      <c r="G214" s="10" t="inlineStr">
        <is>
          <t>No</t>
        </is>
      </c>
      <c r="H214" s="10" t="n">
        <v>5</v>
      </c>
      <c r="I214" s="10" t="inlineStr"/>
      <c r="J214" s="10" t="inlineStr">
        <is>
          <t>Replace noun-heavy phrasing</t>
        </is>
      </c>
      <c r="K214" s="10" t="inlineStr">
        <is>
          <t>Not reviewed</t>
        </is>
      </c>
      <c r="L214" s="10" t="inlineStr"/>
    </row>
    <row r="215">
      <c r="A215" s="10" t="inlineStr">
        <is>
          <t>5.2 Firmness retention versus tissue-wall weakening</t>
        </is>
      </c>
      <c r="B215" s="10" t="n">
        <v>105</v>
      </c>
      <c r="C215" s="10" t="n">
        <v>1</v>
      </c>
      <c r="D215" s="10" t="inlineStr">
        <is>
          <t>Ultrasound studies report conditions associated with retained firmness in strawberry and blueberry [58,59], while apple tissue work found reduced wall stiffness, greater soluble pectin and new intercellular spaces [60].</t>
        </is>
      </c>
      <c r="E215" s="10" t="n">
        <v>30</v>
      </c>
      <c r="F215" s="10" t="inlineStr">
        <is>
          <t>Yes</t>
        </is>
      </c>
      <c r="G215" s="10" t="inlineStr">
        <is>
          <t>No</t>
        </is>
      </c>
      <c r="H215" s="10" t="n">
        <v>0</v>
      </c>
      <c r="I215" s="10" t="inlineStr"/>
      <c r="J215" s="10" t="inlineStr">
        <is>
          <t>Split or simplify</t>
        </is>
      </c>
      <c r="K215" s="10" t="inlineStr">
        <is>
          <t>Not reviewed</t>
        </is>
      </c>
      <c r="L215" s="10" t="inlineStr"/>
    </row>
    <row r="216">
      <c r="A216" s="10" t="inlineStr">
        <is>
          <t>5.2 Firmness retention versus tissue-wall weakening</t>
        </is>
      </c>
      <c r="B216" s="10" t="n">
        <v>105</v>
      </c>
      <c r="C216" s="10" t="n">
        <v>2</v>
      </c>
      <c r="D216" s="10" t="inlineStr">
        <is>
          <t>Calcium outperformed one apricot ultrasound treatment later in storage [61].</t>
        </is>
      </c>
      <c r="E216" s="10" t="n">
        <v>10</v>
      </c>
      <c r="F216" s="10" t="inlineStr">
        <is>
          <t>No</t>
        </is>
      </c>
      <c r="G216" s="10" t="inlineStr">
        <is>
          <t>No</t>
        </is>
      </c>
      <c r="H216" s="10" t="n">
        <v>1</v>
      </c>
      <c r="I216" s="10" t="inlineStr"/>
      <c r="J216" s="10" t="inlineStr"/>
      <c r="K216" s="10" t="inlineStr">
        <is>
          <t>Not reviewed</t>
        </is>
      </c>
      <c r="L216" s="10" t="inlineStr"/>
    </row>
    <row r="217">
      <c r="A217" s="10" t="inlineStr">
        <is>
          <t>5.2 Firmness retention versus tissue-wall weakening</t>
        </is>
      </c>
      <c r="B217" s="10" t="n">
        <v>105</v>
      </c>
      <c r="C217" s="10" t="n">
        <v>3</v>
      </c>
      <c r="D217" s="10" t="inlineStr">
        <is>
          <t>Firmness integrates turgor, hydration, peel mechanics, wall polymers and maturity.</t>
        </is>
      </c>
      <c r="E217" s="10" t="n">
        <v>10</v>
      </c>
      <c r="F217" s="10" t="inlineStr">
        <is>
          <t>No</t>
        </is>
      </c>
      <c r="G217" s="10" t="inlineStr">
        <is>
          <t>No</t>
        </is>
      </c>
      <c r="H217" s="10" t="n">
        <v>1</v>
      </c>
      <c r="I217" s="10" t="inlineStr"/>
      <c r="J217" s="10" t="inlineStr"/>
      <c r="K217" s="10" t="inlineStr">
        <is>
          <t>Not reviewed</t>
        </is>
      </c>
      <c r="L217" s="10" t="inlineStr"/>
    </row>
    <row r="218">
      <c r="A218" s="10" t="inlineStr">
        <is>
          <t>5.2 Firmness retention versus tissue-wall weakening</t>
        </is>
      </c>
      <c r="B218" s="10" t="n">
        <v>105</v>
      </c>
      <c r="C218" s="10" t="n">
        <v>4</v>
      </c>
      <c r="D218" s="10" t="inlineStr">
        <is>
          <t>A single force value cannot identify whether a process preserved cell walls, delayed ripening, shifted water status or temporarily altered turgor.</t>
        </is>
      </c>
      <c r="E218" s="10" t="n">
        <v>21</v>
      </c>
      <c r="F218" s="10" t="inlineStr">
        <is>
          <t>No</t>
        </is>
      </c>
      <c r="G218" s="10" t="inlineStr">
        <is>
          <t>No</t>
        </is>
      </c>
      <c r="H218" s="10" t="n">
        <v>0</v>
      </c>
      <c r="I218" s="10" t="inlineStr"/>
      <c r="J218" s="10" t="inlineStr"/>
      <c r="K218" s="10" t="inlineStr">
        <is>
          <t>Not reviewed</t>
        </is>
      </c>
      <c r="L218" s="10" t="inlineStr"/>
    </row>
    <row r="219">
      <c r="A219" s="10" t="inlineStr">
        <is>
          <t>5.3 Accelerated versus delayed ripening</t>
        </is>
      </c>
      <c r="B219" s="10" t="n">
        <v>107</v>
      </c>
      <c r="C219" s="10" t="n">
        <v>1</v>
      </c>
      <c r="D219" s="10" t="inlineStr">
        <is>
          <t>Banana studies report opposite ripening directions under different ultrasound conditions and cultivars [95,96].</t>
        </is>
      </c>
      <c r="E219" s="10" t="n">
        <v>14</v>
      </c>
      <c r="F219" s="10" t="inlineStr">
        <is>
          <t>No</t>
        </is>
      </c>
      <c r="G219" s="10" t="inlineStr">
        <is>
          <t>No</t>
        </is>
      </c>
      <c r="H219" s="10" t="n">
        <v>0</v>
      </c>
      <c r="I219" s="10" t="inlineStr"/>
      <c r="J219" s="10" t="inlineStr"/>
      <c r="K219" s="10" t="inlineStr">
        <is>
          <t>Not reviewed</t>
        </is>
      </c>
      <c r="L219" s="10" t="inlineStr"/>
    </row>
    <row r="220">
      <c r="A220" s="10" t="inlineStr">
        <is>
          <t>5.3 Accelerated versus delayed ripening</t>
        </is>
      </c>
      <c r="B220" s="10" t="n">
        <v>107</v>
      </c>
      <c r="C220" s="10" t="n">
        <v>2</v>
      </c>
      <c r="D220" s="10" t="inlineStr">
        <is>
          <t>The contradiction is compatible with a non-monotonic, state-dependent operating window: weak exposure may be undetectable, intermediate exposure may trigger adaptation and high peak or cumulative exposure may cause injury or accelerate metabolism.</t>
        </is>
      </c>
      <c r="E220" s="10" t="n">
        <v>32</v>
      </c>
      <c r="F220" s="10" t="inlineStr">
        <is>
          <t>Yes</t>
        </is>
      </c>
      <c r="G220" s="10" t="inlineStr">
        <is>
          <t>No</t>
        </is>
      </c>
      <c r="H220" s="10" t="n">
        <v>2</v>
      </c>
      <c r="I220" s="10" t="inlineStr"/>
      <c r="J220" s="10" t="inlineStr">
        <is>
          <t>Split or simplify</t>
        </is>
      </c>
      <c r="K220" s="10" t="inlineStr">
        <is>
          <t>Not reviewed</t>
        </is>
      </c>
      <c r="L220" s="10" t="inlineStr"/>
    </row>
    <row r="221">
      <c r="A221" s="10" t="inlineStr">
        <is>
          <t>5.3 Accelerated versus delayed ripening</t>
        </is>
      </c>
      <c r="B221" s="10" t="n">
        <v>107</v>
      </c>
      <c r="C221" s="10" t="n">
        <v>3</v>
      </c>
      <c r="D221" s="10" t="inlineStr">
        <is>
          <t>The decisive variables are initial maturity, cultivar, absorbed exposure, thermal history and the full longitudinal trajectory—not the label “ultrasound.”</t>
        </is>
      </c>
      <c r="E221" s="10" t="n">
        <v>20</v>
      </c>
      <c r="F221" s="10" t="inlineStr">
        <is>
          <t>No</t>
        </is>
      </c>
      <c r="G221" s="10" t="inlineStr">
        <is>
          <t>No</t>
        </is>
      </c>
      <c r="H221" s="10" t="n">
        <v>3</v>
      </c>
      <c r="I221" s="10" t="inlineStr"/>
      <c r="J221" s="10" t="inlineStr">
        <is>
          <t>Replace noun-heavy phrasing</t>
        </is>
      </c>
      <c r="K221" s="10" t="inlineStr">
        <is>
          <t>Not reviewed</t>
        </is>
      </c>
      <c r="L221" s="10" t="inlineStr"/>
    </row>
    <row r="222">
      <c r="A222" s="10" t="inlineStr">
        <is>
          <t>5.4 Repeated molecular signals versus latent mechanics</t>
        </is>
      </c>
      <c r="B222" s="10" t="n">
        <v>109</v>
      </c>
      <c r="C222" s="10" t="n">
        <v>1</v>
      </c>
      <c r="D222" s="10" t="inlineStr">
        <is>
          <t>Repeated downstream signals can coexist with an unresolved upstream route.</t>
        </is>
      </c>
      <c r="E222" s="10" t="n">
        <v>10</v>
      </c>
      <c r="F222" s="10" t="inlineStr">
        <is>
          <t>No</t>
        </is>
      </c>
      <c r="G222" s="10" t="inlineStr">
        <is>
          <t>No</t>
        </is>
      </c>
      <c r="H222" s="10" t="n">
        <v>0</v>
      </c>
      <c r="I222" s="10" t="inlineStr"/>
      <c r="J222" s="10" t="inlineStr"/>
      <c r="K222" s="10" t="inlineStr">
        <is>
          <t>Not reviewed</t>
        </is>
      </c>
      <c r="L222" s="10" t="inlineStr"/>
    </row>
    <row r="223">
      <c r="A223" s="10" t="inlineStr">
        <is>
          <t>5.4 Repeated molecular signals versus latent mechanics</t>
        </is>
      </c>
      <c r="B223" s="10" t="n">
        <v>109</v>
      </c>
      <c r="C223" s="10" t="n">
        <v>2</v>
      </c>
      <c r="D223" s="10" t="inlineStr">
        <is>
          <t>Support vibration, airflow, temperature, humidity and gas history may covary with the treatment label.</t>
        </is>
      </c>
      <c r="E223" s="10" t="n">
        <v>14</v>
      </c>
      <c r="F223" s="10" t="inlineStr">
        <is>
          <t>No</t>
        </is>
      </c>
      <c r="G223" s="10" t="inlineStr">
        <is>
          <t>No</t>
        </is>
      </c>
      <c r="H223" s="10" t="n">
        <v>2</v>
      </c>
      <c r="I223" s="10" t="inlineStr"/>
      <c r="J223" s="10" t="inlineStr"/>
      <c r="K223" s="10" t="inlineStr">
        <is>
          <t>Not reviewed</t>
        </is>
      </c>
      <c r="L223" s="10" t="inlineStr"/>
    </row>
    <row r="224">
      <c r="A224" s="10" t="inlineStr">
        <is>
          <t>5.4 Repeated molecular signals versus latent mechanics</t>
        </is>
      </c>
      <c r="B224" s="10" t="n">
        <v>109</v>
      </c>
      <c r="C224" s="10" t="n">
        <v>3</v>
      </c>
      <c r="D224" s="10" t="inlineStr">
        <is>
          <t>Omics can describe response but cannot reconstruct an unmeasured exposure.</t>
        </is>
      </c>
      <c r="E224" s="10" t="n">
        <v>10</v>
      </c>
      <c r="F224" s="10" t="inlineStr">
        <is>
          <t>No</t>
        </is>
      </c>
      <c r="G224" s="10" t="inlineStr">
        <is>
          <t>No</t>
        </is>
      </c>
      <c r="H224" s="10" t="n">
        <v>0</v>
      </c>
      <c r="I224" s="10" t="inlineStr"/>
      <c r="J224" s="10" t="inlineStr"/>
      <c r="K224" s="10" t="inlineStr">
        <is>
          <t>Not reviewed</t>
        </is>
      </c>
      <c r="L224" s="10" t="inlineStr"/>
    </row>
    <row r="225">
      <c r="A225" s="10" t="inlineStr">
        <is>
          <t>5.4 Repeated molecular signals versus latent mechanics</t>
        </is>
      </c>
      <c r="B225" s="10" t="n">
        <v>109</v>
      </c>
      <c r="C225" s="10" t="n">
        <v>4</v>
      </c>
      <c r="D225" s="10" t="inlineStr">
        <is>
          <t>The solution is not to dismiss molecular data; it is to measure the physical route first and then sample biology on a causally plausible timescale.</t>
        </is>
      </c>
      <c r="E225" s="10" t="n">
        <v>25</v>
      </c>
      <c r="F225" s="10" t="inlineStr">
        <is>
          <t>No</t>
        </is>
      </c>
      <c r="G225" s="10" t="inlineStr">
        <is>
          <t>No</t>
        </is>
      </c>
      <c r="H225" s="10" t="n">
        <v>2</v>
      </c>
      <c r="I225" s="10" t="inlineStr"/>
      <c r="J225" s="10" t="inlineStr"/>
      <c r="K225" s="10" t="inlineStr">
        <is>
          <t>Not reviewed</t>
        </is>
      </c>
      <c r="L225" s="10" t="inlineStr"/>
    </row>
    <row r="226">
      <c r="A226" s="10" t="inlineStr">
        <is>
          <t>5.5 Success and failure of acoustic sensing</t>
        </is>
      </c>
      <c r="B226" s="10" t="n">
        <v>111</v>
      </c>
      <c r="C226" s="10" t="n">
        <v>1</v>
      </c>
      <c r="D226" s="10" t="inlineStr">
        <is>
          <t>Acoustic sensing succeeds when the measured feature predicts the decision variable in a defined commodity, geometry and maturity range.</t>
        </is>
      </c>
      <c r="E226" s="10" t="n">
        <v>19</v>
      </c>
      <c r="F226" s="10" t="inlineStr">
        <is>
          <t>No</t>
        </is>
      </c>
      <c r="G226" s="10" t="inlineStr">
        <is>
          <t>No</t>
        </is>
      </c>
      <c r="H226" s="10" t="n">
        <v>2</v>
      </c>
      <c r="I226" s="10" t="inlineStr"/>
      <c r="J226" s="10" t="inlineStr"/>
      <c r="K226" s="10" t="inlineStr">
        <is>
          <t>Not reviewed</t>
        </is>
      </c>
      <c r="L226" s="10" t="inlineStr"/>
    </row>
    <row r="227">
      <c r="A227" s="10" t="inlineStr">
        <is>
          <t>5.5 Success and failure of acoustic sensing</t>
        </is>
      </c>
      <c r="B227" s="10" t="n">
        <v>111</v>
      </c>
      <c r="C227" s="10" t="n">
        <v>2</v>
      </c>
      <c r="D227" s="10" t="inlineStr">
        <is>
          <t>It fails when damping is too high, geometry dominates the response, the reference assay is weak or the model is transferred beyond its calibration domain.</t>
        </is>
      </c>
      <c r="E227" s="10" t="n">
        <v>25</v>
      </c>
      <c r="F227" s="10" t="inlineStr">
        <is>
          <t>No</t>
        </is>
      </c>
      <c r="G227" s="10" t="inlineStr">
        <is>
          <t>Yes</t>
        </is>
      </c>
      <c r="H227" s="10" t="n">
        <v>2</v>
      </c>
      <c r="I227" s="10" t="inlineStr"/>
      <c r="J227" s="10" t="inlineStr">
        <is>
          <t>Consider active voice</t>
        </is>
      </c>
      <c r="K227" s="10" t="inlineStr">
        <is>
          <t>Not reviewed</t>
        </is>
      </c>
      <c r="L227" s="10" t="inlineStr"/>
    </row>
    <row r="228">
      <c r="A228" s="10" t="inlineStr">
        <is>
          <t>5.5 Success and failure of acoustic sensing</t>
        </is>
      </c>
      <c r="B228" s="10" t="n">
        <v>111</v>
      </c>
      <c r="C228" s="10" t="n">
        <v>3</v>
      </c>
      <c r="D228" s="10" t="inlineStr">
        <is>
          <t>The field should therefore select the receiver metric that predicts the required decision rather than forcing one resonance index across all fruit.</t>
        </is>
      </c>
      <c r="E228" s="10" t="n">
        <v>22</v>
      </c>
      <c r="F228" s="10" t="inlineStr">
        <is>
          <t>No</t>
        </is>
      </c>
      <c r="G228" s="10" t="inlineStr">
        <is>
          <t>No</t>
        </is>
      </c>
      <c r="H228" s="10" t="n">
        <v>2</v>
      </c>
      <c r="I228" s="10" t="inlineStr"/>
      <c r="J228" s="10" t="inlineStr"/>
      <c r="K228" s="10" t="inlineStr">
        <is>
          <t>Not reviewed</t>
        </is>
      </c>
      <c r="L228" s="10" t="inlineStr"/>
    </row>
    <row r="229">
      <c r="A229" s="10" t="inlineStr">
        <is>
          <t>6.1 Receiver-Centred Exposure Passport</t>
        </is>
      </c>
      <c r="B229" s="10" t="n">
        <v>114</v>
      </c>
      <c r="C229" s="10" t="n">
        <v>1</v>
      </c>
      <c r="D229" s="10" t="inlineStr">
        <is>
          <t>The Receiver-Centred Exposure Passport is a structured record, not another scalar dose.</t>
        </is>
      </c>
      <c r="E229" s="10" t="n">
        <v>12</v>
      </c>
      <c r="F229" s="10" t="inlineStr">
        <is>
          <t>No</t>
        </is>
      </c>
      <c r="G229" s="10" t="inlineStr">
        <is>
          <t>Yes</t>
        </is>
      </c>
      <c r="H229" s="10" t="n">
        <v>0</v>
      </c>
      <c r="I229" s="10" t="inlineStr"/>
      <c r="J229" s="10" t="inlineStr">
        <is>
          <t>Consider active voice</t>
        </is>
      </c>
      <c r="K229" s="10" t="inlineStr">
        <is>
          <t>Not reviewed</t>
        </is>
      </c>
      <c r="L229" s="10" t="inlineStr"/>
    </row>
    <row r="230">
      <c r="A230" s="10" t="inlineStr">
        <is>
          <t>6.1 Receiver-Centred Exposure Passport</t>
        </is>
      </c>
      <c r="B230" s="10" t="n">
        <v>114</v>
      </c>
      <c r="C230" s="10" t="n">
        <v>2</v>
      </c>
      <c r="D230" s="10" t="inlineStr">
        <is>
          <t>It follows an experiment from source to shelf and allows another laboratory to decide whether the treatment can be reconstructed.</t>
        </is>
      </c>
      <c r="E230" s="10" t="n">
        <v>20</v>
      </c>
      <c r="F230" s="10" t="inlineStr">
        <is>
          <t>No</t>
        </is>
      </c>
      <c r="G230" s="10" t="inlineStr">
        <is>
          <t>Yes</t>
        </is>
      </c>
      <c r="H230" s="10" t="n">
        <v>2</v>
      </c>
      <c r="I230" s="10" t="inlineStr"/>
      <c r="J230" s="10" t="inlineStr">
        <is>
          <t>Consider active voice</t>
        </is>
      </c>
      <c r="K230" s="10" t="inlineStr">
        <is>
          <t>Not reviewed</t>
        </is>
      </c>
      <c r="L230" s="10" t="inlineStr"/>
    </row>
    <row r="231">
      <c r="A231" s="10" t="inlineStr">
        <is>
          <t>6.1 Receiver-Centred Exposure Passport</t>
        </is>
      </c>
      <c r="B231" s="10" t="n">
        <v>114</v>
      </c>
      <c r="C231" s="10" t="n">
        <v>3</v>
      </c>
      <c r="D231" s="10" t="inlineStr">
        <is>
          <t>A minimum tier records source waveform and spectrum, loaded field, fruit and batch state, load geometry, treatment schedule, environment, controls, experimental unit, outcome timing, energy and adverse effects.</t>
        </is>
      </c>
      <c r="E231" s="10" t="n">
        <v>28</v>
      </c>
      <c r="F231" s="10" t="inlineStr">
        <is>
          <t>Yes</t>
        </is>
      </c>
      <c r="G231" s="10" t="inlineStr">
        <is>
          <t>No</t>
        </is>
      </c>
      <c r="H231" s="10" t="n">
        <v>3</v>
      </c>
      <c r="I231" s="10" t="inlineStr"/>
      <c r="J231" s="10" t="inlineStr">
        <is>
          <t>Split or simplify; Replace noun-heavy phrasing</t>
        </is>
      </c>
      <c r="K231" s="10" t="inlineStr">
        <is>
          <t>Not reviewed</t>
        </is>
      </c>
      <c r="L231" s="10" t="inlineStr"/>
    </row>
    <row r="232">
      <c r="A232" s="10" t="inlineStr">
        <is>
          <t>6.1 Receiver-Centred Exposure Passport</t>
        </is>
      </c>
      <c r="B232" s="10" t="n">
        <v>114</v>
      </c>
      <c r="C232" s="10" t="n">
        <v>4</v>
      </c>
      <c r="D232" s="10" t="inlineStr">
        <is>
          <t>This tier supports comparison and reproducibility.</t>
        </is>
      </c>
      <c r="E232" s="10" t="n">
        <v>6</v>
      </c>
      <c r="F232" s="10" t="inlineStr">
        <is>
          <t>No</t>
        </is>
      </c>
      <c r="G232" s="10" t="inlineStr">
        <is>
          <t>No</t>
        </is>
      </c>
      <c r="H232" s="10" t="n">
        <v>1</v>
      </c>
      <c r="I232" s="10" t="inlineStr"/>
      <c r="J232" s="10" t="inlineStr"/>
      <c r="K232" s="10" t="inlineStr">
        <is>
          <t>Not reviewed</t>
        </is>
      </c>
      <c r="L232" s="10" t="inlineStr"/>
    </row>
    <row r="233">
      <c r="A233" s="10" t="inlineStr">
        <is>
          <t>6.1 Receiver-Centred Exposure Passport</t>
        </is>
      </c>
      <c r="B233" s="10" t="n">
        <v>115</v>
      </c>
      <c r="C233" s="10" t="n">
        <v>1</v>
      </c>
      <c r="D233" s="10" t="inlineStr">
        <is>
          <t>A mechanistic tier adds pressure–velocity phase, fruit-surface motion, support acceleration, frequency-response functions, damping, mode shape, validated strain inference, uncertainty, raw synchronized streams and route-specific measurements such as cavitation activity and calorimetry.</t>
        </is>
      </c>
      <c r="E233" s="10" t="n">
        <v>32</v>
      </c>
      <c r="F233" s="10" t="inlineStr">
        <is>
          <t>Yes</t>
        </is>
      </c>
      <c r="G233" s="10" t="inlineStr">
        <is>
          <t>No</t>
        </is>
      </c>
      <c r="H233" s="10" t="n">
        <v>5</v>
      </c>
      <c r="I233" s="10" t="inlineStr"/>
      <c r="J233" s="10" t="inlineStr">
        <is>
          <t>Split or simplify; Replace noun-heavy phrasing</t>
        </is>
      </c>
      <c r="K233" s="10" t="inlineStr">
        <is>
          <t>Not reviewed</t>
        </is>
      </c>
      <c r="L233" s="10" t="inlineStr"/>
    </row>
    <row r="234">
      <c r="A234" s="10" t="inlineStr">
        <is>
          <t>6.1 Receiver-Centred Exposure Passport</t>
        </is>
      </c>
      <c r="B234" s="10" t="n">
        <v>115</v>
      </c>
      <c r="C234" s="10" t="n">
        <v>2</v>
      </c>
      <c r="D234" s="10" t="inlineStr">
        <is>
          <t>The full data dictionary appears in Supplementary Table S4.</t>
        </is>
      </c>
      <c r="E234" s="10" t="n">
        <v>9</v>
      </c>
      <c r="F234" s="10" t="inlineStr">
        <is>
          <t>No</t>
        </is>
      </c>
      <c r="G234" s="10" t="inlineStr">
        <is>
          <t>No</t>
        </is>
      </c>
      <c r="H234" s="10" t="n">
        <v>0</v>
      </c>
      <c r="I234" s="10" t="inlineStr"/>
      <c r="J234" s="10" t="inlineStr"/>
      <c r="K234" s="10" t="inlineStr">
        <is>
          <t>Not reviewed</t>
        </is>
      </c>
      <c r="L234" s="10" t="inlineStr"/>
    </row>
    <row r="235">
      <c r="A235" s="10" t="inlineStr">
        <is>
          <t>6.1 Receiver-Centred Exposure Passport</t>
        </is>
      </c>
      <c r="B235" s="10" t="n">
        <v>115</v>
      </c>
      <c r="C235" s="10" t="n">
        <v>3</v>
      </c>
      <c r="D235" s="10" t="inlineStr">
        <is>
          <t>Raw or minimally processed streams should be retained where practical because summary values can hide transients, drift and spectral impurities.</t>
        </is>
      </c>
      <c r="E235" s="10" t="n">
        <v>20</v>
      </c>
      <c r="F235" s="10" t="inlineStr">
        <is>
          <t>No</t>
        </is>
      </c>
      <c r="G235" s="10" t="inlineStr">
        <is>
          <t>Yes</t>
        </is>
      </c>
      <c r="H235" s="10" t="n">
        <v>2</v>
      </c>
      <c r="I235" s="10" t="inlineStr"/>
      <c r="J235" s="10" t="inlineStr">
        <is>
          <t>Consider active voice</t>
        </is>
      </c>
      <c r="K235" s="10" t="inlineStr">
        <is>
          <t>Not reviewed</t>
        </is>
      </c>
      <c r="L235" s="10" t="inlineStr"/>
    </row>
    <row r="236">
      <c r="A236" s="10" t="inlineStr">
        <is>
          <t>6.1 Receiver-Centred Exposure Passport</t>
        </is>
      </c>
      <c r="B236" s="10" t="n">
        <v>116</v>
      </c>
      <c r="C236" s="10" t="n">
        <v>1</v>
      </c>
      <c r="D236" s="10" t="inlineStr">
        <is>
          <t>The Passport should record negative and abstention decisions.</t>
        </is>
      </c>
      <c r="E236" s="10" t="n">
        <v>8</v>
      </c>
      <c r="F236" s="10" t="inlineStr">
        <is>
          <t>No</t>
        </is>
      </c>
      <c r="G236" s="10" t="inlineStr">
        <is>
          <t>No</t>
        </is>
      </c>
      <c r="H236" s="10" t="n">
        <v>1</v>
      </c>
      <c r="I236" s="10" t="inlineStr"/>
      <c r="J236" s="10" t="inlineStr"/>
      <c r="K236" s="10" t="inlineStr">
        <is>
          <t>Not reviewed</t>
        </is>
      </c>
      <c r="L236" s="10" t="inlineStr"/>
    </row>
    <row r="237">
      <c r="A237" s="10" t="inlineStr">
        <is>
          <t>6.1 Receiver-Centred Exposure Passport</t>
        </is>
      </c>
      <c r="B237" s="10" t="n">
        <v>116</v>
      </c>
      <c r="C237" s="10" t="n">
        <v>2</v>
      </c>
      <c r="D237" s="10" t="inlineStr">
        <is>
          <t>A system that treats only favourable batches cannot define an unbiased operating window.</t>
        </is>
      </c>
      <c r="E237" s="10" t="n">
        <v>13</v>
      </c>
      <c r="F237" s="10" t="inlineStr">
        <is>
          <t>No</t>
        </is>
      </c>
      <c r="G237" s="10" t="inlineStr">
        <is>
          <t>No</t>
        </is>
      </c>
      <c r="H237" s="10" t="n">
        <v>0</v>
      </c>
      <c r="I237" s="10" t="inlineStr"/>
      <c r="J237" s="10" t="inlineStr"/>
      <c r="K237" s="10" t="inlineStr">
        <is>
          <t>Not reviewed</t>
        </is>
      </c>
      <c r="L237" s="10" t="inlineStr"/>
    </row>
    <row r="238">
      <c r="A238" s="10" t="inlineStr">
        <is>
          <t>6.1 Receiver-Centred Exposure Passport</t>
        </is>
      </c>
      <c r="B238" s="10" t="n">
        <v>116</v>
      </c>
      <c r="C238" s="10" t="n">
        <v>3</v>
      </c>
      <c r="D238" s="10" t="inlineStr">
        <is>
          <t>Persistent fruit identifiers should link baseline state, local exposure, longitudinal quality, adverse effects and external validation.</t>
        </is>
      </c>
      <c r="E238" s="10" t="n">
        <v>16</v>
      </c>
      <c r="F238" s="10" t="inlineStr">
        <is>
          <t>No</t>
        </is>
      </c>
      <c r="G238" s="10" t="inlineStr">
        <is>
          <t>No</t>
        </is>
      </c>
      <c r="H238" s="10" t="n">
        <v>4</v>
      </c>
      <c r="I238" s="10" t="inlineStr"/>
      <c r="J238" s="10" t="inlineStr">
        <is>
          <t>Replace noun-heavy phrasing</t>
        </is>
      </c>
      <c r="K238" s="10" t="inlineStr">
        <is>
          <t>Not reviewed</t>
        </is>
      </c>
      <c r="L238" s="10" t="inlineStr"/>
    </row>
    <row r="239">
      <c r="A239" s="10" t="inlineStr">
        <is>
          <t>6.2 Acoustic Operating Window</t>
        </is>
      </c>
      <c r="B239" s="10" t="n">
        <v>118</v>
      </c>
      <c r="C239" s="10" t="n">
        <v>1</v>
      </c>
      <c r="D239" s="10" t="inlineStr">
        <is>
          <t>The Acoustic Operating Window is the empirical region in which a defined receiver exposure achieves a shelf-relevant objective while meeting damage, thermal, noise, spatial-uniformity, throughput, energy, sanitation and economic constraints.</t>
        </is>
      </c>
      <c r="E239" s="10" t="n">
        <v>30</v>
      </c>
      <c r="F239" s="10" t="inlineStr">
        <is>
          <t>Yes</t>
        </is>
      </c>
      <c r="G239" s="10" t="inlineStr">
        <is>
          <t>No</t>
        </is>
      </c>
      <c r="H239" s="10" t="n">
        <v>5</v>
      </c>
      <c r="I239" s="10" t="inlineStr"/>
      <c r="J239" s="10" t="inlineStr">
        <is>
          <t>Split or simplify; Replace noun-heavy phrasing</t>
        </is>
      </c>
      <c r="K239" s="10" t="inlineStr">
        <is>
          <t>Not reviewed</t>
        </is>
      </c>
      <c r="L239" s="10" t="inlineStr"/>
    </row>
    <row r="240">
      <c r="A240" s="10" t="inlineStr">
        <is>
          <t>6.2 Acoustic Operating Window</t>
        </is>
      </c>
      <c r="B240" s="10" t="n">
        <v>118</v>
      </c>
      <c r="C240" s="10" t="n">
        <v>2</v>
      </c>
      <c r="D240" s="10" t="inlineStr">
        <is>
          <t>Source settings enter the window only after mapping to receiver exposure for a specified fruit state and load.</t>
        </is>
      </c>
      <c r="E240" s="10" t="n">
        <v>18</v>
      </c>
      <c r="F240" s="10" t="inlineStr">
        <is>
          <t>No</t>
        </is>
      </c>
      <c r="G240" s="10" t="inlineStr">
        <is>
          <t>No</t>
        </is>
      </c>
      <c r="H240" s="10" t="n">
        <v>0</v>
      </c>
      <c r="I240" s="10" t="inlineStr"/>
      <c r="J240" s="10" t="inlineStr"/>
      <c r="K240" s="10" t="inlineStr">
        <is>
          <t>Not reviewed</t>
        </is>
      </c>
      <c r="L240" s="10" t="inlineStr"/>
    </row>
    <row r="241">
      <c r="A241" s="10" t="inlineStr">
        <is>
          <t>6.2 Acoustic Operating Window</t>
        </is>
      </c>
      <c r="B241" s="10" t="n">
        <v>118</v>
      </c>
      <c r="C241" s="10" t="n">
        <v>3</v>
      </c>
      <c r="D241" s="10" t="inlineStr">
        <is>
          <t>A frequency range is not an operating window, and a list of favourable treatment means is not a validated design space.</t>
        </is>
      </c>
      <c r="E241" s="10" t="n">
        <v>21</v>
      </c>
      <c r="F241" s="10" t="inlineStr">
        <is>
          <t>No</t>
        </is>
      </c>
      <c r="G241" s="10" t="inlineStr">
        <is>
          <t>Yes</t>
        </is>
      </c>
      <c r="H241" s="10" t="n">
        <v>1</v>
      </c>
      <c r="I241" s="10" t="inlineStr"/>
      <c r="J241" s="10" t="inlineStr">
        <is>
          <t>Consider active voice</t>
        </is>
      </c>
      <c r="K241" s="10" t="inlineStr">
        <is>
          <t>Not reviewed</t>
        </is>
      </c>
      <c r="L241" s="10" t="inlineStr"/>
    </row>
    <row r="242">
      <c r="A242" s="10" t="inlineStr">
        <is>
          <t>6.2 Acoustic Operating Window</t>
        </is>
      </c>
      <c r="B242" s="10" t="n">
        <v>119</v>
      </c>
      <c r="C242" s="10" t="n">
        <v>1</v>
      </c>
      <c r="D242" s="10" t="inlineStr">
        <is>
          <t>The expected response is non-monotonic.</t>
        </is>
      </c>
      <c r="E242" s="10" t="n">
        <v>5</v>
      </c>
      <c r="F242" s="10" t="inlineStr">
        <is>
          <t>No</t>
        </is>
      </c>
      <c r="G242" s="10" t="inlineStr">
        <is>
          <t>No</t>
        </is>
      </c>
      <c r="H242" s="10" t="n">
        <v>0</v>
      </c>
      <c r="I242" s="10" t="inlineStr"/>
      <c r="J242" s="10" t="inlineStr"/>
      <c r="K242" s="10" t="inlineStr">
        <is>
          <t>Not reviewed</t>
        </is>
      </c>
      <c r="L242" s="10" t="inlineStr"/>
    </row>
    <row r="243">
      <c r="A243" s="10" t="inlineStr">
        <is>
          <t>6.2 Acoustic Operating Window</t>
        </is>
      </c>
      <c r="B243" s="10" t="n">
        <v>119</v>
      </c>
      <c r="C243" s="10" t="n">
        <v>2</v>
      </c>
      <c r="D243" s="10" t="inlineStr">
        <is>
          <t>Very weak exposure may produce no measurable effect, an intermediate region may produce an adaptive or transport benefit, and high peak or cumulative exposure may cause membrane leakage, fatigue, heating, bruising or stress metabolism.</t>
        </is>
      </c>
      <c r="E243" s="10" t="n">
        <v>34</v>
      </c>
      <c r="F243" s="10" t="inlineStr">
        <is>
          <t>Yes</t>
        </is>
      </c>
      <c r="G243" s="10" t="inlineStr">
        <is>
          <t>No</t>
        </is>
      </c>
      <c r="H243" s="10" t="n">
        <v>0</v>
      </c>
      <c r="I243" s="10" t="inlineStr"/>
      <c r="J243" s="10" t="inlineStr">
        <is>
          <t>Split or simplify</t>
        </is>
      </c>
      <c r="K243" s="10" t="inlineStr">
        <is>
          <t>Not reviewed</t>
        </is>
      </c>
      <c r="L243" s="10" t="inlineStr"/>
    </row>
    <row r="244">
      <c r="A244" s="10" t="inlineStr">
        <is>
          <t>6.2 Acoustic Operating Window</t>
        </is>
      </c>
      <c r="B244" s="10" t="n">
        <v>119</v>
      </c>
      <c r="C244" s="10" t="n">
        <v>3</v>
      </c>
      <c r="D244" s="10" t="inlineStr">
        <is>
          <t>Boundaries must be learned through designed experiments that include no-effect and adverse-effect regions, not only conditions expected to work.</t>
        </is>
      </c>
      <c r="E244" s="10" t="n">
        <v>19</v>
      </c>
      <c r="F244" s="10" t="inlineStr">
        <is>
          <t>No</t>
        </is>
      </c>
      <c r="G244" s="10" t="inlineStr">
        <is>
          <t>Yes</t>
        </is>
      </c>
      <c r="H244" s="10" t="n">
        <v>0</v>
      </c>
      <c r="I244" s="10" t="inlineStr"/>
      <c r="J244" s="10" t="inlineStr">
        <is>
          <t>Consider active voice</t>
        </is>
      </c>
      <c r="K244" s="10" t="inlineStr">
        <is>
          <t>Not reviewed</t>
        </is>
      </c>
      <c r="L244" s="10" t="inlineStr"/>
    </row>
    <row r="245">
      <c r="A245" s="10" t="inlineStr">
        <is>
          <t>6.3 Route separation, sentinel fruit and receiver equivalence</t>
        </is>
      </c>
      <c r="B245" s="10" t="n">
        <v>121</v>
      </c>
      <c r="C245" s="10" t="n">
        <v>1</v>
      </c>
      <c r="D245" s="10" t="inlineStr">
        <is>
          <t>Gate zero is route identification.</t>
        </is>
      </c>
      <c r="E245" s="10" t="n">
        <v>5</v>
      </c>
      <c r="F245" s="10" t="inlineStr">
        <is>
          <t>No</t>
        </is>
      </c>
      <c r="G245" s="10" t="inlineStr">
        <is>
          <t>No</t>
        </is>
      </c>
      <c r="H245" s="10" t="n">
        <v>1</v>
      </c>
      <c r="I245" s="10" t="inlineStr"/>
      <c r="J245" s="10" t="inlineStr"/>
      <c r="K245" s="10" t="inlineStr">
        <is>
          <t>Not reviewed</t>
        </is>
      </c>
      <c r="L245" s="10" t="inlineStr"/>
    </row>
    <row r="246">
      <c r="A246" s="10" t="inlineStr">
        <is>
          <t>6.3 Route separation, sentinel fruit and receiver equivalence</t>
        </is>
      </c>
      <c r="B246" s="10" t="n">
        <v>121</v>
      </c>
      <c r="C246" s="10" t="n">
        <v>2</v>
      </c>
      <c r="D246" s="10" t="inlineStr">
        <is>
          <t>An airborne claim requires a mechanically isolated source, support-only excitation and matched thermal, airflow, humidity and gas shams.</t>
        </is>
      </c>
      <c r="E246" s="10" t="n">
        <v>18</v>
      </c>
      <c r="F246" s="10" t="inlineStr">
        <is>
          <t>No</t>
        </is>
      </c>
      <c r="G246" s="10" t="inlineStr">
        <is>
          <t>No</t>
        </is>
      </c>
      <c r="H246" s="10" t="n">
        <v>2</v>
      </c>
      <c r="I246" s="10" t="inlineStr"/>
      <c r="J246" s="10" t="inlineStr"/>
      <c r="K246" s="10" t="inlineStr">
        <is>
          <t>Not reviewed</t>
        </is>
      </c>
      <c r="L246" s="10" t="inlineStr"/>
    </row>
    <row r="247">
      <c r="A247" s="10" t="inlineStr">
        <is>
          <t>6.3 Route separation, sentinel fruit and receiver equivalence</t>
        </is>
      </c>
      <c r="B247" s="10" t="n">
        <v>121</v>
      </c>
      <c r="C247" s="10" t="n">
        <v>3</v>
      </c>
      <c r="D247" s="10" t="inlineStr">
        <is>
          <t>No later biological analysis can recover a coupling route that was never measured.</t>
        </is>
      </c>
      <c r="E247" s="10" t="n">
        <v>13</v>
      </c>
      <c r="F247" s="10" t="inlineStr">
        <is>
          <t>No</t>
        </is>
      </c>
      <c r="G247" s="10" t="inlineStr">
        <is>
          <t>Yes</t>
        </is>
      </c>
      <c r="H247" s="10" t="n">
        <v>1</v>
      </c>
      <c r="I247" s="10" t="inlineStr"/>
      <c r="J247" s="10" t="inlineStr">
        <is>
          <t>Consider active voice</t>
        </is>
      </c>
      <c r="K247" s="10" t="inlineStr">
        <is>
          <t>Not reviewed</t>
        </is>
      </c>
      <c r="L247" s="10" t="inlineStr"/>
    </row>
    <row r="248">
      <c r="A248" s="10" t="inlineStr">
        <is>
          <t>6.3 Route separation, sentinel fruit and receiver equivalence</t>
        </is>
      </c>
      <c r="B248" s="10" t="n">
        <v>121</v>
      </c>
      <c r="C248" s="10" t="n">
        <v>4</v>
      </c>
      <c r="D248" s="10" t="inlineStr">
        <is>
          <t>Loaded-system mapping should occur with the real tray, package and product distribution because these elements form the boundary condition.</t>
        </is>
      </c>
      <c r="E248" s="10" t="n">
        <v>19</v>
      </c>
      <c r="F248" s="10" t="inlineStr">
        <is>
          <t>No</t>
        </is>
      </c>
      <c r="G248" s="10" t="inlineStr">
        <is>
          <t>No</t>
        </is>
      </c>
      <c r="H248" s="10" t="n">
        <v>2</v>
      </c>
      <c r="I248" s="10" t="inlineStr"/>
      <c r="J248" s="10" t="inlineStr"/>
      <c r="K248" s="10" t="inlineStr">
        <is>
          <t>Not reviewed</t>
        </is>
      </c>
      <c r="L248" s="10" t="inlineStr"/>
    </row>
    <row r="249">
      <c r="A249" s="10" t="inlineStr">
        <is>
          <t>6.3 Route separation, sentinel fruit and receiver equivalence</t>
        </is>
      </c>
      <c r="B249" s="10" t="n">
        <v>122</v>
      </c>
      <c r="C249" s="10" t="n">
        <v>1</v>
      </c>
      <c r="D249" s="10" t="inlineStr">
        <is>
          <t>A small set of instrumented sentinel fruit can estimate the loaded transfer function, while rapid pretreatment sensing estimates the batch-state distribution.</t>
        </is>
      </c>
      <c r="E249" s="10" t="n">
        <v>21</v>
      </c>
      <c r="F249" s="10" t="inlineStr">
        <is>
          <t>No</t>
        </is>
      </c>
      <c r="G249" s="10" t="inlineStr">
        <is>
          <t>No</t>
        </is>
      </c>
      <c r="H249" s="10" t="n">
        <v>3</v>
      </c>
      <c r="I249" s="10" t="inlineStr"/>
      <c r="J249" s="10" t="inlineStr">
        <is>
          <t>Replace noun-heavy phrasing</t>
        </is>
      </c>
      <c r="K249" s="10" t="inlineStr">
        <is>
          <t>Not reviewed</t>
        </is>
      </c>
      <c r="L249" s="10" t="inlineStr"/>
    </row>
    <row r="250">
      <c r="A250" s="10" t="inlineStr">
        <is>
          <t>6.3 Route separation, sentinel fruit and receiver equivalence</t>
        </is>
      </c>
      <c r="B250" s="10" t="n">
        <v>122</v>
      </c>
      <c r="C250" s="10" t="n">
        <v>2</v>
      </c>
      <c r="D250" s="10" t="inlineStr">
        <is>
          <t>The controller should operate on a distribution and widen uncertainty when the load departs from commissioning conditions.</t>
        </is>
      </c>
      <c r="E250" s="10" t="n">
        <v>17</v>
      </c>
      <c r="F250" s="10" t="inlineStr">
        <is>
          <t>No</t>
        </is>
      </c>
      <c r="G250" s="10" t="inlineStr">
        <is>
          <t>No</t>
        </is>
      </c>
      <c r="H250" s="10" t="n">
        <v>1</v>
      </c>
      <c r="I250" s="10" t="inlineStr"/>
      <c r="J250" s="10" t="inlineStr"/>
      <c r="K250" s="10" t="inlineStr">
        <is>
          <t>Not reviewed</t>
        </is>
      </c>
      <c r="L250" s="10" t="inlineStr"/>
    </row>
    <row r="251">
      <c r="A251" s="10" t="inlineStr">
        <is>
          <t>6.3 Route separation, sentinel fruit and receiver equivalence</t>
        </is>
      </c>
      <c r="B251" s="10" t="n">
        <v>122</v>
      </c>
      <c r="C251" s="10" t="n">
        <v>3</v>
      </c>
      <c r="D251" s="10" t="inlineStr">
        <is>
          <t>This strategy is more realistic than claiming per-fruit state estimation in a dense chamber before visibility and contact problems are solved.</t>
        </is>
      </c>
      <c r="E251" s="10" t="n">
        <v>21</v>
      </c>
      <c r="F251" s="10" t="inlineStr">
        <is>
          <t>No</t>
        </is>
      </c>
      <c r="G251" s="10" t="inlineStr">
        <is>
          <t>Yes</t>
        </is>
      </c>
      <c r="H251" s="10" t="n">
        <v>2</v>
      </c>
      <c r="I251" s="10" t="inlineStr"/>
      <c r="J251" s="10" t="inlineStr">
        <is>
          <t>Consider active voice</t>
        </is>
      </c>
      <c r="K251" s="10" t="inlineStr">
        <is>
          <t>Not reviewed</t>
        </is>
      </c>
      <c r="L251" s="10" t="inlineStr"/>
    </row>
    <row r="252">
      <c r="A252" s="10" t="inlineStr">
        <is>
          <t>6.3 Route separation, sentinel fruit and receiver equivalence</t>
        </is>
      </c>
      <c r="B252" s="10" t="n">
        <v>123</v>
      </c>
      <c r="C252" s="10" t="n">
        <v>1</v>
      </c>
      <c r="D252" s="10" t="inlineStr">
        <is>
          <t>Receiver equivalence provides the scale-up test.</t>
        </is>
      </c>
      <c r="E252" s="10" t="n">
        <v>6</v>
      </c>
      <c r="F252" s="10" t="inlineStr">
        <is>
          <t>No</t>
        </is>
      </c>
      <c r="G252" s="10" t="inlineStr">
        <is>
          <t>No</t>
        </is>
      </c>
      <c r="H252" s="10" t="n">
        <v>1</v>
      </c>
      <c r="I252" s="10" t="inlineStr"/>
      <c r="J252" s="10" t="inlineStr"/>
      <c r="K252" s="10" t="inlineStr">
        <is>
          <t>Not reviewed</t>
        </is>
      </c>
      <c r="L252" s="10" t="inlineStr"/>
    </row>
    <row r="253">
      <c r="A253" s="10" t="inlineStr">
        <is>
          <t>6.3 Route separation, sentinel fruit and receiver equivalence</t>
        </is>
      </c>
      <c r="B253" s="10" t="n">
        <v>123</v>
      </c>
      <c r="C253" s="10" t="n">
        <v>2</v>
      </c>
      <c r="D253" s="10" t="inlineStr">
        <is>
          <t>Chamber B may use a different frequency, geometry or amplitude from Chamber A.</t>
        </is>
      </c>
      <c r="E253" s="10" t="n">
        <v>13</v>
      </c>
      <c r="F253" s="10" t="inlineStr">
        <is>
          <t>No</t>
        </is>
      </c>
      <c r="G253" s="10" t="inlineStr">
        <is>
          <t>No</t>
        </is>
      </c>
      <c r="H253" s="10" t="n">
        <v>0</v>
      </c>
      <c r="I253" s="10" t="inlineStr"/>
      <c r="J253" s="10" t="inlineStr"/>
      <c r="K253" s="10" t="inlineStr">
        <is>
          <t>Not reviewed</t>
        </is>
      </c>
      <c r="L253" s="10" t="inlineStr"/>
    </row>
    <row r="254">
      <c r="A254" s="10" t="inlineStr">
        <is>
          <t>6.3 Route separation, sentinel fruit and receiver equivalence</t>
        </is>
      </c>
      <c r="B254" s="10" t="n">
        <v>123</v>
      </c>
      <c r="C254" s="10" t="n">
        <v>3</v>
      </c>
      <c r="D254" s="10" t="inlineStr">
        <is>
          <t>It is equivalent only if it reproduces the validated receiver-exposure distribution within uncertainty and generates an equivalent shelf-quality trajectory.</t>
        </is>
      </c>
      <c r="E254" s="10" t="n">
        <v>19</v>
      </c>
      <c r="F254" s="10" t="inlineStr">
        <is>
          <t>No</t>
        </is>
      </c>
      <c r="G254" s="10" t="inlineStr">
        <is>
          <t>No</t>
        </is>
      </c>
      <c r="H254" s="10" t="n">
        <v>1</v>
      </c>
      <c r="I254" s="10" t="inlineStr"/>
      <c r="J254" s="10" t="inlineStr"/>
      <c r="K254" s="10" t="inlineStr">
        <is>
          <t>Not reviewed</t>
        </is>
      </c>
      <c r="L254" s="10" t="inlineStr"/>
    </row>
    <row r="255">
      <c r="A255" s="10" t="inlineStr">
        <is>
          <t>6.3 Route separation, sentinel fruit and receiver equivalence</t>
        </is>
      </c>
      <c r="B255" s="10" t="n">
        <v>123</v>
      </c>
      <c r="C255" s="10" t="n">
        <v>4</v>
      </c>
      <c r="D255" s="10" t="inlineStr">
        <is>
          <t>Failure is informative: it identifies an unmeasured route, an incomplete exposure vector or a batch-dependent mechanism.</t>
        </is>
      </c>
      <c r="E255" s="10" t="n">
        <v>16</v>
      </c>
      <c r="F255" s="10" t="inlineStr">
        <is>
          <t>No</t>
        </is>
      </c>
      <c r="G255" s="10" t="inlineStr">
        <is>
          <t>No</t>
        </is>
      </c>
      <c r="H255" s="10" t="n">
        <v>0</v>
      </c>
      <c r="I255" s="10" t="inlineStr"/>
      <c r="J255" s="10" t="inlineStr"/>
      <c r="K255" s="10" t="inlineStr">
        <is>
          <t>Not reviewed</t>
        </is>
      </c>
      <c r="L255" s="10" t="inlineStr"/>
    </row>
    <row r="256">
      <c r="A256" s="10" t="inlineStr">
        <is>
          <t>6.3 Route separation, sentinel fruit and receiver equivalence</t>
        </is>
      </c>
      <c r="B256" s="10" t="n">
        <v>126</v>
      </c>
      <c r="C256" s="10" t="n">
        <v>1</v>
      </c>
      <c r="D256" s="10" t="inlineStr">
        <is>
          <t>Figure 4.</t>
        </is>
      </c>
      <c r="E256" s="10" t="n">
        <v>2</v>
      </c>
      <c r="F256" s="10" t="inlineStr">
        <is>
          <t>No</t>
        </is>
      </c>
      <c r="G256" s="10" t="inlineStr">
        <is>
          <t>No</t>
        </is>
      </c>
      <c r="H256" s="10" t="n">
        <v>0</v>
      </c>
      <c r="I256" s="10" t="inlineStr"/>
      <c r="J256" s="10" t="inlineStr"/>
      <c r="K256" s="10" t="inlineStr">
        <is>
          <t>Not reviewed</t>
        </is>
      </c>
      <c r="L256" s="10" t="inlineStr"/>
    </row>
    <row r="257">
      <c r="A257" s="10" t="inlineStr">
        <is>
          <t>6.3 Route separation, sentinel fruit and receiver equivalence</t>
        </is>
      </c>
      <c r="B257" s="10" t="n">
        <v>126</v>
      </c>
      <c r="C257" s="10" t="n">
        <v>2</v>
      </c>
      <c r="D257" s="10" t="inlineStr">
        <is>
          <t>Receiver-centred process design.</t>
        </is>
      </c>
      <c r="E257" s="10" t="n">
        <v>3</v>
      </c>
      <c r="F257" s="10" t="inlineStr">
        <is>
          <t>No</t>
        </is>
      </c>
      <c r="G257" s="10" t="inlineStr">
        <is>
          <t>No</t>
        </is>
      </c>
      <c r="H257" s="10" t="n">
        <v>0</v>
      </c>
      <c r="I257" s="10" t="inlineStr"/>
      <c r="J257" s="10" t="inlineStr"/>
      <c r="K257" s="10" t="inlineStr">
        <is>
          <t>Not reviewed</t>
        </is>
      </c>
      <c r="L257" s="10" t="inlineStr"/>
    </row>
    <row r="258">
      <c r="A258" s="10" t="inlineStr">
        <is>
          <t>6.3 Route separation, sentinel fruit and receiver equivalence</t>
        </is>
      </c>
      <c r="B258" s="10" t="n">
        <v>126</v>
      </c>
      <c r="C258" s="10" t="n">
        <v>3</v>
      </c>
      <c r="D258" s="10" t="inlineStr">
        <is>
          <t>The Exposure Passport reconstructs the treatment, the Acoustic Operating Window bounds benefit against harm and process constraints, and the receiver-equivalence test asks whether different equipment can reproduce both exposure and longitudinal shelf response.</t>
        </is>
      </c>
      <c r="E258" s="10" t="n">
        <v>33</v>
      </c>
      <c r="F258" s="10" t="inlineStr">
        <is>
          <t>Yes</t>
        </is>
      </c>
      <c r="G258" s="10" t="inlineStr">
        <is>
          <t>No</t>
        </is>
      </c>
      <c r="H258" s="10" t="n">
        <v>4</v>
      </c>
      <c r="I258" s="10" t="inlineStr"/>
      <c r="J258" s="10" t="inlineStr">
        <is>
          <t>Split or simplify; Replace noun-heavy phrasing</t>
        </is>
      </c>
      <c r="K258" s="10" t="inlineStr">
        <is>
          <t>Not reviewed</t>
        </is>
      </c>
      <c r="L258" s="10" t="inlineStr"/>
    </row>
    <row r="259">
      <c r="A259" s="10" t="inlineStr">
        <is>
          <t>6.3 Route separation, sentinel fruit and receiver equivalence</t>
        </is>
      </c>
      <c r="B259" s="10" t="n">
        <v>126</v>
      </c>
      <c r="C259" s="10" t="n">
        <v>4</v>
      </c>
      <c r="D259" s="10" t="inlineStr">
        <is>
          <t>Failure identifies a missing exposure variable or rival pathway rather than being hidden behind another frequency screen.</t>
        </is>
      </c>
      <c r="E259" s="10" t="n">
        <v>17</v>
      </c>
      <c r="F259" s="10" t="inlineStr">
        <is>
          <t>No</t>
        </is>
      </c>
      <c r="G259" s="10" t="inlineStr">
        <is>
          <t>Yes</t>
        </is>
      </c>
      <c r="H259" s="10" t="n">
        <v>1</v>
      </c>
      <c r="I259" s="10" t="inlineStr"/>
      <c r="J259" s="10" t="inlineStr">
        <is>
          <t>Consider active voice</t>
        </is>
      </c>
      <c r="K259" s="10" t="inlineStr">
        <is>
          <t>Not reviewed</t>
        </is>
      </c>
      <c r="L259" s="10" t="inlineStr"/>
    </row>
    <row r="260">
      <c r="A260" s="10" t="inlineStr">
        <is>
          <t>7.1 Longitudinal quality replaces single endpoints</t>
        </is>
      </c>
      <c r="B260" s="10" t="n">
        <v>130</v>
      </c>
      <c r="C260" s="10" t="n">
        <v>1</v>
      </c>
      <c r="D260" s="10" t="inlineStr">
        <is>
          <t>“From sound to shelf” requires more than one post-treatment firmness value.</t>
        </is>
      </c>
      <c r="E260" s="10" t="n">
        <v>11</v>
      </c>
      <c r="F260" s="10" t="inlineStr">
        <is>
          <t>No</t>
        </is>
      </c>
      <c r="G260" s="10" t="inlineStr">
        <is>
          <t>No</t>
        </is>
      </c>
      <c r="H260" s="10" t="n">
        <v>1</v>
      </c>
      <c r="I260" s="10" t="inlineStr"/>
      <c r="J260" s="10" t="inlineStr"/>
      <c r="K260" s="10" t="inlineStr">
        <is>
          <t>Not reviewed</t>
        </is>
      </c>
      <c r="L260" s="10" t="inlineStr"/>
    </row>
    <row r="261">
      <c r="A261" s="10" t="inlineStr">
        <is>
          <t>7.1 Longitudinal quality replaces single endpoints</t>
        </is>
      </c>
      <c r="B261" s="10" t="n">
        <v>130</v>
      </c>
      <c r="C261" s="10" t="n">
        <v>2</v>
      </c>
      <c r="D261" s="10" t="inlineStr">
        <is>
          <t>Shelf performance should capture firmness and texture trajectories, colour and ripening stage, respiration and ethylene dynamics, mass loss, microbial safety where relevant, aroma and sensory quality, surface and internal injury, usable distribution period and product rejection.</t>
        </is>
      </c>
      <c r="E261" s="10" t="n">
        <v>36</v>
      </c>
      <c r="F261" s="10" t="inlineStr">
        <is>
          <t>Yes</t>
        </is>
      </c>
      <c r="G261" s="10" t="inlineStr">
        <is>
          <t>No</t>
        </is>
      </c>
      <c r="H261" s="10" t="n">
        <v>6</v>
      </c>
      <c r="I261" s="10" t="inlineStr"/>
      <c r="J261" s="10" t="inlineStr">
        <is>
          <t>Split or simplify; Replace noun-heavy phrasing</t>
        </is>
      </c>
      <c r="K261" s="10" t="inlineStr">
        <is>
          <t>Not reviewed</t>
        </is>
      </c>
      <c r="L261" s="10" t="inlineStr"/>
    </row>
    <row r="262">
      <c r="A262" s="10" t="inlineStr">
        <is>
          <t>7.1 Longitudinal quality replaces single endpoints</t>
        </is>
      </c>
      <c r="B262" s="10" t="n">
        <v>130</v>
      </c>
      <c r="C262" s="10" t="n">
        <v>3</v>
      </c>
      <c r="D262" s="10" t="inlineStr">
        <is>
          <t>Measurements should occur after realistic handling and consumption intervals, not only immediately after treatment.</t>
        </is>
      </c>
      <c r="E262" s="10" t="n">
        <v>14</v>
      </c>
      <c r="F262" s="10" t="inlineStr">
        <is>
          <t>No</t>
        </is>
      </c>
      <c r="G262" s="10" t="inlineStr">
        <is>
          <t>No</t>
        </is>
      </c>
      <c r="H262" s="10" t="n">
        <v>2</v>
      </c>
      <c r="I262" s="10" t="inlineStr"/>
      <c r="J262" s="10" t="inlineStr"/>
      <c r="K262" s="10" t="inlineStr">
        <is>
          <t>Not reviewed</t>
        </is>
      </c>
      <c r="L262" s="10" t="inlineStr"/>
    </row>
    <row r="263">
      <c r="A263" s="10" t="inlineStr">
        <is>
          <t>7.1 Longitudinal quality replaces single endpoints</t>
        </is>
      </c>
      <c r="B263" s="10" t="n">
        <v>131</v>
      </c>
      <c r="C263" s="10" t="n">
        <v>1</v>
      </c>
      <c r="D263" s="10" t="inlineStr">
        <is>
          <t>Trajectory analysis matters.</t>
        </is>
      </c>
      <c r="E263" s="10" t="n">
        <v>3</v>
      </c>
      <c r="F263" s="10" t="inlineStr">
        <is>
          <t>No</t>
        </is>
      </c>
      <c r="G263" s="10" t="inlineStr">
        <is>
          <t>No</t>
        </is>
      </c>
      <c r="H263" s="10" t="n">
        <v>0</v>
      </c>
      <c r="I263" s="10" t="inlineStr"/>
      <c r="J263" s="10" t="inlineStr"/>
      <c r="K263" s="10" t="inlineStr">
        <is>
          <t>Not reviewed</t>
        </is>
      </c>
      <c r="L263" s="10" t="inlineStr"/>
    </row>
    <row r="264">
      <c r="A264" s="10" t="inlineStr">
        <is>
          <t>7.1 Longitudinal quality replaces single endpoints</t>
        </is>
      </c>
      <c r="B264" s="10" t="n">
        <v>131</v>
      </c>
      <c r="C264" s="10" t="n">
        <v>2</v>
      </c>
      <c r="D264" s="10" t="inlineStr">
        <is>
          <t>A lower gas value on one day may represent delayed peak timing rather than reduced cumulative metabolism.</t>
        </is>
      </c>
      <c r="E264" s="10" t="n">
        <v>17</v>
      </c>
      <c r="F264" s="10" t="inlineStr">
        <is>
          <t>No</t>
        </is>
      </c>
      <c r="G264" s="10" t="inlineStr">
        <is>
          <t>No</t>
        </is>
      </c>
      <c r="H264" s="10" t="n">
        <v>0</v>
      </c>
      <c r="I264" s="10" t="inlineStr"/>
      <c r="J264" s="10" t="inlineStr"/>
      <c r="K264" s="10" t="inlineStr">
        <is>
          <t>Not reviewed</t>
        </is>
      </c>
      <c r="L264" s="10" t="inlineStr"/>
    </row>
    <row r="265">
      <c r="A265" s="10" t="inlineStr">
        <is>
          <t>7.1 Longitudinal quality replaces single endpoints</t>
        </is>
      </c>
      <c r="B265" s="10" t="n">
        <v>131</v>
      </c>
      <c r="C265" s="10" t="n">
        <v>3</v>
      </c>
      <c r="D265" s="10" t="inlineStr">
        <is>
          <t>A treatment can preserve firmness while degrading aroma, producing uneven colour or delaying a defect.</t>
        </is>
      </c>
      <c r="E265" s="10" t="n">
        <v>15</v>
      </c>
      <c r="F265" s="10" t="inlineStr">
        <is>
          <t>No</t>
        </is>
      </c>
      <c r="G265" s="10" t="inlineStr">
        <is>
          <t>No</t>
        </is>
      </c>
      <c r="H265" s="10" t="n">
        <v>1</v>
      </c>
      <c r="I265" s="10" t="inlineStr"/>
      <c r="J265" s="10" t="inlineStr"/>
      <c r="K265" s="10" t="inlineStr">
        <is>
          <t>Not reviewed</t>
        </is>
      </c>
      <c r="L265" s="10" t="inlineStr"/>
    </row>
    <row r="266">
      <c r="A266" s="10" t="inlineStr">
        <is>
          <t>7.1 Longitudinal quality replaces single endpoints</t>
        </is>
      </c>
      <c r="B266" s="10" t="n">
        <v>131</v>
      </c>
      <c r="C266" s="10" t="n">
        <v>4</v>
      </c>
      <c r="D266" s="10" t="inlineStr">
        <is>
          <t>Shelf claims should therefore specify the quality and safety criteria that a product must meet at a defined distribution time.</t>
        </is>
      </c>
      <c r="E266" s="10" t="n">
        <v>20</v>
      </c>
      <c r="F266" s="10" t="inlineStr">
        <is>
          <t>No</t>
        </is>
      </c>
      <c r="G266" s="10" t="inlineStr">
        <is>
          <t>No</t>
        </is>
      </c>
      <c r="H266" s="10" t="n">
        <v>1</v>
      </c>
      <c r="I266" s="10" t="inlineStr"/>
      <c r="J266" s="10" t="inlineStr"/>
      <c r="K266" s="10" t="inlineStr">
        <is>
          <t>Not reviewed</t>
        </is>
      </c>
      <c r="L266" s="10" t="inlineStr"/>
    </row>
    <row r="267">
      <c r="A267" s="10" t="inlineStr">
        <is>
          <t>7.2 Safety and adverse boundaries</t>
        </is>
      </c>
      <c r="B267" s="10" t="n">
        <v>133</v>
      </c>
      <c r="C267" s="10" t="n">
        <v>1</v>
      </c>
      <c r="D267" s="10" t="inlineStr">
        <is>
          <t>Receiver exposure creates a continuum from information to intervention to damage.</t>
        </is>
      </c>
      <c r="E267" s="10" t="n">
        <v>11</v>
      </c>
      <c r="F267" s="10" t="inlineStr">
        <is>
          <t>No</t>
        </is>
      </c>
      <c r="G267" s="10" t="inlineStr">
        <is>
          <t>No</t>
        </is>
      </c>
      <c r="H267" s="10" t="n">
        <v>2</v>
      </c>
      <c r="I267" s="10" t="inlineStr"/>
      <c r="J267" s="10" t="inlineStr"/>
      <c r="K267" s="10" t="inlineStr">
        <is>
          <t>Not reviewed</t>
        </is>
      </c>
      <c r="L267" s="10" t="inlineStr"/>
    </row>
    <row r="268">
      <c r="A268" s="10" t="inlineStr">
        <is>
          <t>7.2 Safety and adverse boundaries</t>
        </is>
      </c>
      <c r="B268" s="10" t="n">
        <v>133</v>
      </c>
      <c r="C268" s="10" t="n">
        <v>2</v>
      </c>
      <c r="D268" s="10" t="inlineStr">
        <is>
          <t>The same structural route that might stimulate tissue at one level can bruise or fatigue it at another.</t>
        </is>
      </c>
      <c r="E268" s="10" t="n">
        <v>18</v>
      </c>
      <c r="F268" s="10" t="inlineStr">
        <is>
          <t>No</t>
        </is>
      </c>
      <c r="G268" s="10" t="inlineStr">
        <is>
          <t>No</t>
        </is>
      </c>
      <c r="H268" s="10" t="n">
        <v>1</v>
      </c>
      <c r="I268" s="10" t="inlineStr"/>
      <c r="J268" s="10" t="inlineStr"/>
      <c r="K268" s="10" t="inlineStr">
        <is>
          <t>Not reviewed</t>
        </is>
      </c>
      <c r="L268" s="10" t="inlineStr"/>
    </row>
    <row r="269">
      <c r="A269" s="10" t="inlineStr">
        <is>
          <t>7.2 Safety and adverse boundaries</t>
        </is>
      </c>
      <c r="B269" s="10" t="n">
        <v>133</v>
      </c>
      <c r="C269" s="10" t="n">
        <v>3</v>
      </c>
      <c r="D269" s="10" t="inlineStr">
        <is>
          <t>Transport vibration is therefore both a confounder and the adverse boundary needed to learn an operating window [38].</t>
        </is>
      </c>
      <c r="E269" s="10" t="n">
        <v>18</v>
      </c>
      <c r="F269" s="10" t="inlineStr">
        <is>
          <t>No</t>
        </is>
      </c>
      <c r="G269" s="10" t="inlineStr">
        <is>
          <t>No</t>
        </is>
      </c>
      <c r="H269" s="10" t="n">
        <v>1</v>
      </c>
      <c r="I269" s="10" t="inlineStr"/>
      <c r="J269" s="10" t="inlineStr"/>
      <c r="K269" s="10" t="inlineStr">
        <is>
          <t>Not reviewed</t>
        </is>
      </c>
      <c r="L269" s="10" t="inlineStr"/>
    </row>
    <row r="270">
      <c r="A270" s="10" t="inlineStr">
        <is>
          <t>7.2 Safety and adverse boundaries</t>
        </is>
      </c>
      <c r="B270" s="10" t="n">
        <v>133</v>
      </c>
      <c r="C270" s="10" t="n">
        <v>4</v>
      </c>
      <c r="D270" s="10" t="inlineStr">
        <is>
          <t>Harm must be measured with the same resolution as benefit.</t>
        </is>
      </c>
      <c r="E270" s="10" t="n">
        <v>10</v>
      </c>
      <c r="F270" s="10" t="inlineStr">
        <is>
          <t>No</t>
        </is>
      </c>
      <c r="G270" s="10" t="inlineStr">
        <is>
          <t>Yes</t>
        </is>
      </c>
      <c r="H270" s="10" t="n">
        <v>1</v>
      </c>
      <c r="I270" s="10" t="inlineStr"/>
      <c r="J270" s="10" t="inlineStr">
        <is>
          <t>Consider active voice</t>
        </is>
      </c>
      <c r="K270" s="10" t="inlineStr">
        <is>
          <t>Not reviewed</t>
        </is>
      </c>
      <c r="L270" s="10" t="inlineStr"/>
    </row>
    <row r="271">
      <c r="A271" s="10" t="inlineStr">
        <is>
          <t>7.2 Safety and adverse boundaries</t>
        </is>
      </c>
      <c r="B271" s="10" t="n">
        <v>133</v>
      </c>
      <c r="C271" s="10" t="n">
        <v>5</v>
      </c>
      <c r="D271" s="10" t="inlineStr">
        <is>
          <t>For liquid ultrasound, microbial detachment must be distinguished from inactivation by measuring organisms on the fruit and in the process liquid.</t>
        </is>
      </c>
      <c r="E271" s="10" t="n">
        <v>21</v>
      </c>
      <c r="F271" s="10" t="inlineStr">
        <is>
          <t>No</t>
        </is>
      </c>
      <c r="G271" s="10" t="inlineStr">
        <is>
          <t>Yes</t>
        </is>
      </c>
      <c r="H271" s="10" t="n">
        <v>3</v>
      </c>
      <c r="I271" s="10" t="inlineStr"/>
      <c r="J271" s="10" t="inlineStr">
        <is>
          <t>Consider active voice; Replace noun-heavy phrasing</t>
        </is>
      </c>
      <c r="K271" s="10" t="inlineStr">
        <is>
          <t>Not reviewed</t>
        </is>
      </c>
      <c r="L271" s="10" t="inlineStr"/>
    </row>
    <row r="272">
      <c r="A272" s="10" t="inlineStr">
        <is>
          <t>7.2 Safety and adverse boundaries</t>
        </is>
      </c>
      <c r="B272" s="10" t="n">
        <v>134</v>
      </c>
      <c r="C272" s="10" t="n">
        <v>1</v>
      </c>
      <c r="D272" s="10" t="inlineStr">
        <is>
          <t>Combination treatments require factorial analysis.</t>
        </is>
      </c>
      <c r="E272" s="10" t="n">
        <v>5</v>
      </c>
      <c r="F272" s="10" t="inlineStr">
        <is>
          <t>No</t>
        </is>
      </c>
      <c r="G272" s="10" t="inlineStr">
        <is>
          <t>No</t>
        </is>
      </c>
      <c r="H272" s="10" t="n">
        <v>2</v>
      </c>
      <c r="I272" s="10" t="inlineStr"/>
      <c r="J272" s="10" t="inlineStr"/>
      <c r="K272" s="10" t="inlineStr">
        <is>
          <t>Not reviewed</t>
        </is>
      </c>
      <c r="L272" s="10" t="inlineStr"/>
    </row>
    <row r="273">
      <c r="A273" s="10" t="inlineStr">
        <is>
          <t>7.2 Safety and adverse boundaries</t>
        </is>
      </c>
      <c r="B273" s="10" t="n">
        <v>134</v>
      </c>
      <c r="C273" s="10" t="n">
        <v>2</v>
      </c>
      <c r="D273" s="10" t="inlineStr">
        <is>
          <t>Ultrasound with sanitizer, mild heat or controlled atmosphere can appear synergistic, additive or antagonistic [41,47,52,54,72–74,124,125].</t>
        </is>
      </c>
      <c r="E273" s="10" t="n">
        <v>22</v>
      </c>
      <c r="F273" s="10" t="inlineStr">
        <is>
          <t>No</t>
        </is>
      </c>
      <c r="G273" s="10" t="inlineStr">
        <is>
          <t>No</t>
        </is>
      </c>
      <c r="H273" s="10" t="n">
        <v>0</v>
      </c>
      <c r="I273" s="10" t="inlineStr"/>
      <c r="J273" s="10" t="inlineStr"/>
      <c r="K273" s="10" t="inlineStr">
        <is>
          <t>Not reviewed</t>
        </is>
      </c>
      <c r="L273" s="10" t="inlineStr"/>
    </row>
    <row r="274">
      <c r="A274" s="10" t="inlineStr">
        <is>
          <t>7.2 Safety and adverse boundaries</t>
        </is>
      </c>
      <c r="B274" s="10" t="n">
        <v>134</v>
      </c>
      <c r="C274" s="10" t="n">
        <v>3</v>
      </c>
      <c r="D274" s="10" t="inlineStr">
        <is>
          <t>Acoustic-only, co-treatment-only, combined and matched-sham groups are necessary before attributing an effect to a hybrid mechanism.</t>
        </is>
      </c>
      <c r="E274" s="10" t="n">
        <v>16</v>
      </c>
      <c r="F274" s="10" t="inlineStr">
        <is>
          <t>No</t>
        </is>
      </c>
      <c r="G274" s="10" t="inlineStr">
        <is>
          <t>No</t>
        </is>
      </c>
      <c r="H274" s="10" t="n">
        <v>1</v>
      </c>
      <c r="I274" s="10" t="inlineStr"/>
      <c r="J274" s="10" t="inlineStr"/>
      <c r="K274" s="10" t="inlineStr">
        <is>
          <t>Not reviewed</t>
        </is>
      </c>
      <c r="L274" s="10" t="inlineStr"/>
    </row>
    <row r="275">
      <c r="A275" s="10" t="inlineStr">
        <is>
          <t>7.3 Loaded-system design and scale-up</t>
        </is>
      </c>
      <c r="B275" s="10" t="n">
        <v>136</v>
      </c>
      <c r="C275" s="10" t="n">
        <v>1</v>
      </c>
      <c r="D275" s="10" t="inlineStr">
        <is>
          <t>A pilot system should prioritize measurement access, repeatable loading, cleanability and separation of airborne and structural paths.</t>
        </is>
      </c>
      <c r="E275" s="10" t="n">
        <v>17</v>
      </c>
      <c r="F275" s="10" t="inlineStr">
        <is>
          <t>No</t>
        </is>
      </c>
      <c r="G275" s="10" t="inlineStr">
        <is>
          <t>No</t>
        </is>
      </c>
      <c r="H275" s="10" t="n">
        <v>4</v>
      </c>
      <c r="I275" s="10" t="inlineStr"/>
      <c r="J275" s="10" t="inlineStr">
        <is>
          <t>Replace noun-heavy phrasing</t>
        </is>
      </c>
      <c r="K275" s="10" t="inlineStr">
        <is>
          <t>Not reviewed</t>
        </is>
      </c>
      <c r="L275" s="10" t="inlineStr"/>
    </row>
    <row r="276">
      <c r="A276" s="10" t="inlineStr">
        <is>
          <t>7.3 Loaded-system design and scale-up</t>
        </is>
      </c>
      <c r="B276" s="10" t="n">
        <v>136</v>
      </c>
      <c r="C276" s="10" t="n">
        <v>2</v>
      </c>
      <c r="D276" s="10" t="inlineStr">
        <is>
          <t>Source arrays can improve spatial control but can also create interference.</t>
        </is>
      </c>
      <c r="E276" s="10" t="n">
        <v>11</v>
      </c>
      <c r="F276" s="10" t="inlineStr">
        <is>
          <t>No</t>
        </is>
      </c>
      <c r="G276" s="10" t="inlineStr">
        <is>
          <t>No</t>
        </is>
      </c>
      <c r="H276" s="10" t="n">
        <v>2</v>
      </c>
      <c r="I276" s="10" t="inlineStr"/>
      <c r="J276" s="10" t="inlineStr"/>
      <c r="K276" s="10" t="inlineStr">
        <is>
          <t>Not reviewed</t>
        </is>
      </c>
      <c r="L276" s="10" t="inlineStr"/>
    </row>
    <row r="277">
      <c r="A277" s="10" t="inlineStr">
        <is>
          <t>7.3 Loaded-system design and scale-up</t>
        </is>
      </c>
      <c r="B277" s="10" t="n">
        <v>136</v>
      </c>
      <c r="C277" s="10" t="n">
        <v>3</v>
      </c>
      <c r="D277" s="10" t="inlineStr">
        <is>
          <t>Trays and packages must remain in place during commissioning.</t>
        </is>
      </c>
      <c r="E277" s="10" t="n">
        <v>9</v>
      </c>
      <c r="F277" s="10" t="inlineStr">
        <is>
          <t>No</t>
        </is>
      </c>
      <c r="G277" s="10" t="inlineStr">
        <is>
          <t>No</t>
        </is>
      </c>
      <c r="H277" s="10" t="n">
        <v>0</v>
      </c>
      <c r="I277" s="10" t="inlineStr"/>
      <c r="J277" s="10" t="inlineStr"/>
      <c r="K277" s="10" t="inlineStr">
        <is>
          <t>Not reviewed</t>
        </is>
      </c>
      <c r="L277" s="10" t="inlineStr"/>
    </row>
    <row r="278">
      <c r="A278" s="10" t="inlineStr">
        <is>
          <t>7.3 Loaded-system design and scale-up</t>
        </is>
      </c>
      <c r="B278" s="10" t="n">
        <v>136</v>
      </c>
      <c r="C278" s="10" t="n">
        <v>4</v>
      </c>
      <c r="D278" s="10" t="inlineStr">
        <is>
          <t>A sparse permanent sensor set is acceptable only after its reconstruction error has been tested against a dense loaded map.</t>
        </is>
      </c>
      <c r="E278" s="10" t="n">
        <v>20</v>
      </c>
      <c r="F278" s="10" t="inlineStr">
        <is>
          <t>No</t>
        </is>
      </c>
      <c r="G278" s="10" t="inlineStr">
        <is>
          <t>Yes</t>
        </is>
      </c>
      <c r="H278" s="10" t="n">
        <v>1</v>
      </c>
      <c r="I278" s="10" t="inlineStr"/>
      <c r="J278" s="10" t="inlineStr">
        <is>
          <t>Consider active voice</t>
        </is>
      </c>
      <c r="K278" s="10" t="inlineStr">
        <is>
          <t>Not reviewed</t>
        </is>
      </c>
      <c r="L278" s="10" t="inlineStr"/>
    </row>
    <row r="279">
      <c r="A279" s="10" t="inlineStr">
        <is>
          <t>7.3 Loaded-system design and scale-up</t>
        </is>
      </c>
      <c r="B279" s="10" t="n">
        <v>137</v>
      </c>
      <c r="C279" s="10" t="n">
        <v>1</v>
      </c>
      <c r="D279" s="10" t="inlineStr">
        <is>
          <t>For liquid ultrasound, sanitary design, bath turnover, dissolved-gas control, liquid depth, basket geometry and load-dependent cavitation are critical.</t>
        </is>
      </c>
      <c r="E279" s="10" t="n">
        <v>18</v>
      </c>
      <c r="F279" s="10" t="inlineStr">
        <is>
          <t>No</t>
        </is>
      </c>
      <c r="G279" s="10" t="inlineStr">
        <is>
          <t>No</t>
        </is>
      </c>
      <c r="H279" s="10" t="n">
        <v>2</v>
      </c>
      <c r="I279" s="10" t="inlineStr"/>
      <c r="J279" s="10" t="inlineStr"/>
      <c r="K279" s="10" t="inlineStr">
        <is>
          <t>Not reviewed</t>
        </is>
      </c>
      <c r="L279" s="10" t="inlineStr"/>
    </row>
    <row r="280">
      <c r="A280" s="10" t="inlineStr">
        <is>
          <t>7.3 Loaded-system design and scale-up</t>
        </is>
      </c>
      <c r="B280" s="10" t="n">
        <v>137</v>
      </c>
      <c r="C280" s="10" t="n">
        <v>2</v>
      </c>
      <c r="D280" s="10" t="inlineStr">
        <is>
          <t>For airborne systems, enclosure leakage, audible subharmonics, worker noise, support vibration, temperature and airflow define safety and confounding limits.</t>
        </is>
      </c>
      <c r="E280" s="10" t="n">
        <v>19</v>
      </c>
      <c r="F280" s="10" t="inlineStr">
        <is>
          <t>No</t>
        </is>
      </c>
      <c r="G280" s="10" t="inlineStr">
        <is>
          <t>No</t>
        </is>
      </c>
      <c r="H280" s="10" t="n">
        <v>1</v>
      </c>
      <c r="I280" s="10" t="inlineStr"/>
      <c r="J280" s="10" t="inlineStr"/>
      <c r="K280" s="10" t="inlineStr">
        <is>
          <t>Not reviewed</t>
        </is>
      </c>
      <c r="L280" s="10" t="inlineStr"/>
    </row>
    <row r="281">
      <c r="A281" s="10" t="inlineStr">
        <is>
          <t>7.3 Loaded-system design and scale-up</t>
        </is>
      </c>
      <c r="B281" s="10" t="n">
        <v>137</v>
      </c>
      <c r="C281" s="10" t="n">
        <v>3</v>
      </c>
      <c r="D281" s="10" t="inlineStr">
        <is>
          <t>Ordinary airborne audible exposure does not have a robust evidence basis for direct microbial inactivation; such claims require organism strain, inoculation, recovery, detection and regrowth methods appropriate to the matrix.</t>
        </is>
      </c>
      <c r="E281" s="10" t="n">
        <v>30</v>
      </c>
      <c r="F281" s="10" t="inlineStr">
        <is>
          <t>Yes</t>
        </is>
      </c>
      <c r="G281" s="10" t="inlineStr">
        <is>
          <t>No</t>
        </is>
      </c>
      <c r="H281" s="10" t="n">
        <v>5</v>
      </c>
      <c r="I281" s="10" t="inlineStr"/>
      <c r="J281" s="10" t="inlineStr">
        <is>
          <t>Split or simplify; Replace noun-heavy phrasing</t>
        </is>
      </c>
      <c r="K281" s="10" t="inlineStr">
        <is>
          <t>Not reviewed</t>
        </is>
      </c>
      <c r="L281" s="10" t="inlineStr"/>
    </row>
    <row r="282">
      <c r="A282" s="10" t="inlineStr">
        <is>
          <t>7.4 Economic and sustainability decision value</t>
        </is>
      </c>
      <c r="B282" s="10" t="n">
        <v>139</v>
      </c>
      <c r="C282" s="10" t="n">
        <v>1</v>
      </c>
      <c r="D282" s="10" t="inlineStr">
        <is>
          <t>The economic comparison is between process routes, not device wattages.</t>
        </is>
      </c>
      <c r="E282" s="10" t="n">
        <v>10</v>
      </c>
      <c r="F282" s="10" t="inlineStr">
        <is>
          <t>No</t>
        </is>
      </c>
      <c r="G282" s="10" t="inlineStr">
        <is>
          <t>Yes</t>
        </is>
      </c>
      <c r="H282" s="10" t="n">
        <v>0</v>
      </c>
      <c r="I282" s="10" t="inlineStr"/>
      <c r="J282" s="10" t="inlineStr">
        <is>
          <t>Consider active voice</t>
        </is>
      </c>
      <c r="K282" s="10" t="inlineStr">
        <is>
          <t>Not reviewed</t>
        </is>
      </c>
      <c r="L282" s="10" t="inlineStr"/>
    </row>
    <row r="283">
      <c r="A283" s="10" t="inlineStr">
        <is>
          <t>7.4 Economic and sustainability decision value</t>
        </is>
      </c>
      <c r="B283" s="10" t="n">
        <v>139</v>
      </c>
      <c r="C283" s="10" t="n">
        <v>2</v>
      </c>
      <c r="D283" s="10" t="inlineStr">
        <is>
          <t>Capital, enclosures, transducers, sensing, calibration, cleaning, maintenance, worker protection, line speed, false intervention and product value all matter.</t>
        </is>
      </c>
      <c r="E283" s="10" t="n">
        <v>18</v>
      </c>
      <c r="F283" s="10" t="inlineStr">
        <is>
          <t>No</t>
        </is>
      </c>
      <c r="G283" s="10" t="inlineStr">
        <is>
          <t>No</t>
        </is>
      </c>
      <c r="H283" s="10" t="n">
        <v>5</v>
      </c>
      <c r="I283" s="10" t="inlineStr"/>
      <c r="J283" s="10" t="inlineStr">
        <is>
          <t>Replace noun-heavy phrasing</t>
        </is>
      </c>
      <c r="K283" s="10" t="inlineStr">
        <is>
          <t>Not reviewed</t>
        </is>
      </c>
      <c r="L283" s="10" t="inlineStr"/>
    </row>
    <row r="284">
      <c r="A284" s="10" t="inlineStr">
        <is>
          <t>7.4 Economic and sustainability decision value</t>
        </is>
      </c>
      <c r="B284" s="10" t="n">
        <v>139</v>
      </c>
      <c r="C284" s="10" t="n">
        <v>3</v>
      </c>
      <c r="D284" s="10" t="inlineStr">
        <is>
          <t>Sensing can create value even if intervention fails by improving sorting, routing and inventory decisions.</t>
        </is>
      </c>
      <c r="E284" s="10" t="n">
        <v>15</v>
      </c>
      <c r="F284" s="10" t="inlineStr">
        <is>
          <t>No</t>
        </is>
      </c>
      <c r="G284" s="10" t="inlineStr">
        <is>
          <t>No</t>
        </is>
      </c>
      <c r="H284" s="10" t="n">
        <v>1</v>
      </c>
      <c r="I284" s="10" t="inlineStr"/>
      <c r="J284" s="10" t="inlineStr"/>
      <c r="K284" s="10" t="inlineStr">
        <is>
          <t>Not reviewed</t>
        </is>
      </c>
      <c r="L284" s="10" t="inlineStr"/>
    </row>
    <row r="285">
      <c r="A285" s="10" t="inlineStr">
        <is>
          <t>7.4 Economic and sustainability decision value</t>
        </is>
      </c>
      <c r="B285" s="10" t="n">
        <v>139</v>
      </c>
      <c r="C285" s="10" t="n">
        <v>4</v>
      </c>
      <c r="D285" s="10" t="inlineStr">
        <is>
          <t>Information value and actuator value should be reported separately.</t>
        </is>
      </c>
      <c r="E285" s="10" t="n">
        <v>9</v>
      </c>
      <c r="F285" s="10" t="inlineStr">
        <is>
          <t>No</t>
        </is>
      </c>
      <c r="G285" s="10" t="inlineStr">
        <is>
          <t>Yes</t>
        </is>
      </c>
      <c r="H285" s="10" t="n">
        <v>1</v>
      </c>
      <c r="I285" s="10" t="inlineStr"/>
      <c r="J285" s="10" t="inlineStr">
        <is>
          <t>Consider active voice</t>
        </is>
      </c>
      <c r="K285" s="10" t="inlineStr">
        <is>
          <t>Not reviewed</t>
        </is>
      </c>
      <c r="L285" s="10" t="inlineStr"/>
    </row>
    <row r="286">
      <c r="A286" s="10" t="inlineStr">
        <is>
          <t>7.4 Economic and sustainability decision value</t>
        </is>
      </c>
      <c r="B286" s="10" t="n">
        <v>140</v>
      </c>
      <c r="C286" s="10" t="n">
        <v>1</v>
      </c>
      <c r="D286" s="10" t="inlineStr">
        <is>
          <t>Sustainability belongs inside the Operating Window.</t>
        </is>
      </c>
      <c r="E286" s="10" t="n">
        <v>6</v>
      </c>
      <c r="F286" s="10" t="inlineStr">
        <is>
          <t>No</t>
        </is>
      </c>
      <c r="G286" s="10" t="inlineStr">
        <is>
          <t>No</t>
        </is>
      </c>
      <c r="H286" s="10" t="n">
        <v>1</v>
      </c>
      <c r="I286" s="10" t="inlineStr"/>
      <c r="J286" s="10" t="inlineStr"/>
      <c r="K286" s="10" t="inlineStr">
        <is>
          <t>Not reviewed</t>
        </is>
      </c>
      <c r="L286" s="10" t="inlineStr"/>
    </row>
    <row r="287">
      <c r="A287" s="10" t="inlineStr">
        <is>
          <t>7.4 Economic and sustainability decision value</t>
        </is>
      </c>
      <c r="B287" s="10" t="n">
        <v>140</v>
      </c>
      <c r="C287" s="10" t="n">
        <v>2</v>
      </c>
      <c r="D287" s="10" t="inlineStr">
        <is>
          <t>A low-power source is not efficient if coupling is poor and treatment is long.</t>
        </is>
      </c>
      <c r="E287" s="10" t="n">
        <v>14</v>
      </c>
      <c r="F287" s="10" t="inlineStr">
        <is>
          <t>No</t>
        </is>
      </c>
      <c r="G287" s="10" t="inlineStr">
        <is>
          <t>No</t>
        </is>
      </c>
      <c r="H287" s="10" t="n">
        <v>1</v>
      </c>
      <c r="I287" s="10" t="inlineStr"/>
      <c r="J287" s="10" t="inlineStr"/>
      <c r="K287" s="10" t="inlineStr">
        <is>
          <t>Not reviewed</t>
        </is>
      </c>
      <c r="L287" s="10" t="inlineStr"/>
    </row>
    <row r="288">
      <c r="A288" s="10" t="inlineStr">
        <is>
          <t>7.4 Economic and sustainability decision value</t>
        </is>
      </c>
      <c r="B288" s="10" t="n">
        <v>140</v>
      </c>
      <c r="C288" s="10" t="n">
        <v>3</v>
      </c>
      <c r="D288" s="10" t="inlineStr">
        <is>
          <t>A higher-power actuator may reduce total resource use if calibrated sensing prevents unnecessary treatment or product loss.</t>
        </is>
      </c>
      <c r="E288" s="10" t="n">
        <v>17</v>
      </c>
      <c r="F288" s="10" t="inlineStr">
        <is>
          <t>No</t>
        </is>
      </c>
      <c r="G288" s="10" t="inlineStr">
        <is>
          <t>No</t>
        </is>
      </c>
      <c r="H288" s="10" t="n">
        <v>2</v>
      </c>
      <c r="I288" s="10" t="inlineStr"/>
      <c r="J288" s="10" t="inlineStr"/>
      <c r="K288" s="10" t="inlineStr">
        <is>
          <t>Not reviewed</t>
        </is>
      </c>
      <c r="L288" s="10" t="inlineStr"/>
    </row>
    <row r="289">
      <c r="A289" s="10" t="inlineStr">
        <is>
          <t>7.4 Economic and sustainability decision value</t>
        </is>
      </c>
      <c r="B289" s="10" t="n">
        <v>140</v>
      </c>
      <c r="C289" s="10" t="n">
        <v>4</v>
      </c>
      <c r="D289" s="10" t="inlineStr">
        <is>
          <t>Comparisons need a functional unit, such as one kilogram meeting a defined quality and safety specification after a stated distribution period.</t>
        </is>
      </c>
      <c r="E289" s="10" t="n">
        <v>21</v>
      </c>
      <c r="F289" s="10" t="inlineStr">
        <is>
          <t>No</t>
        </is>
      </c>
      <c r="G289" s="10" t="inlineStr">
        <is>
          <t>No</t>
        </is>
      </c>
      <c r="H289" s="10" t="n">
        <v>3</v>
      </c>
      <c r="I289" s="10" t="inlineStr"/>
      <c r="J289" s="10" t="inlineStr">
        <is>
          <t>Replace noun-heavy phrasing</t>
        </is>
      </c>
      <c r="K289" s="10" t="inlineStr">
        <is>
          <t>Not reviewed</t>
        </is>
      </c>
      <c r="L289" s="10" t="inlineStr"/>
    </row>
    <row r="290">
      <c r="A290" s="10" t="inlineStr">
        <is>
          <t>7.4 Economic and sustainability decision value</t>
        </is>
      </c>
      <c r="B290" s="10" t="n">
        <v>140</v>
      </c>
      <c r="C290" s="10" t="n">
        <v>5</v>
      </c>
      <c r="D290" s="10" t="inlineStr">
        <is>
          <t>Electricity, equipment, enclosure, calibration, sanitation, line occupancy, rejected product and avoided conventional treatment belong within the boundary.</t>
        </is>
      </c>
      <c r="E290" s="10" t="n">
        <v>17</v>
      </c>
      <c r="F290" s="10" t="inlineStr">
        <is>
          <t>No</t>
        </is>
      </c>
      <c r="G290" s="10" t="inlineStr">
        <is>
          <t>No</t>
        </is>
      </c>
      <c r="H290" s="10" t="n">
        <v>5</v>
      </c>
      <c r="I290" s="10" t="inlineStr"/>
      <c r="J290" s="10" t="inlineStr">
        <is>
          <t>Replace noun-heavy phrasing</t>
        </is>
      </c>
      <c r="K290" s="10" t="inlineStr">
        <is>
          <t>Not reviewed</t>
        </is>
      </c>
      <c r="L290" s="10" t="inlineStr"/>
    </row>
    <row r="291">
      <c r="A291" s="10" t="inlineStr">
        <is>
          <t>7.4 Economic and sustainability decision value</t>
        </is>
      </c>
      <c r="B291" s="10" t="n">
        <v>141</v>
      </c>
      <c r="C291" s="10" t="n">
        <v>1</v>
      </c>
      <c r="D291" s="10" t="inlineStr">
        <is>
          <t>The lowest-risk commercial opportunity may be a receiver-metrology platform rather than a universal treatment chamber.</t>
        </is>
      </c>
      <c r="E291" s="10" t="n">
        <v>15</v>
      </c>
      <c r="F291" s="10" t="inlineStr">
        <is>
          <t>No</t>
        </is>
      </c>
      <c r="G291" s="10" t="inlineStr">
        <is>
          <t>No</t>
        </is>
      </c>
      <c r="H291" s="10" t="n">
        <v>4</v>
      </c>
      <c r="I291" s="10" t="inlineStr"/>
      <c r="J291" s="10" t="inlineStr">
        <is>
          <t>Replace noun-heavy phrasing</t>
        </is>
      </c>
      <c r="K291" s="10" t="inlineStr">
        <is>
          <t>Not reviewed</t>
        </is>
      </c>
      <c r="L291" s="10" t="inlineStr"/>
    </row>
    <row r="292">
      <c r="A292" s="10" t="inlineStr">
        <is>
          <t>7.4 Economic and sustainability decision value</t>
        </is>
      </c>
      <c r="B292" s="10" t="n">
        <v>141</v>
      </c>
      <c r="C292" s="10" t="n">
        <v>2</v>
      </c>
      <c r="D292" s="10" t="inlineStr">
        <is>
          <t>Loaded-field mapping, fruit-motion measurement and state estimation can support sensing, equipment commissioning, transport-damage diagnosis and later intervention research.</t>
        </is>
      </c>
      <c r="E292" s="10" t="n">
        <v>18</v>
      </c>
      <c r="F292" s="10" t="inlineStr">
        <is>
          <t>No</t>
        </is>
      </c>
      <c r="G292" s="10" t="inlineStr">
        <is>
          <t>No</t>
        </is>
      </c>
      <c r="H292" s="10" t="n">
        <v>5</v>
      </c>
      <c r="I292" s="10" t="inlineStr"/>
      <c r="J292" s="10" t="inlineStr">
        <is>
          <t>Replace noun-heavy phrasing</t>
        </is>
      </c>
      <c r="K292" s="10" t="inlineStr">
        <is>
          <t>Not reviewed</t>
        </is>
      </c>
      <c r="L292" s="10" t="inlineStr"/>
    </row>
    <row r="293">
      <c r="A293" s="10" t="inlineStr">
        <is>
          <t>7.4 Economic and sustainability decision value</t>
        </is>
      </c>
      <c r="B293" s="10" t="n">
        <v>141</v>
      </c>
      <c r="C293" s="10" t="n">
        <v>3</v>
      </c>
      <c r="D293" s="10" t="inlineStr">
        <is>
          <t>This pathway creates value before a beneficial biological effect is assumed.</t>
        </is>
      </c>
      <c r="E293" s="10" t="n">
        <v>11</v>
      </c>
      <c r="F293" s="10" t="inlineStr">
        <is>
          <t>No</t>
        </is>
      </c>
      <c r="G293" s="10" t="inlineStr">
        <is>
          <t>Yes</t>
        </is>
      </c>
      <c r="H293" s="10" t="n">
        <v>2</v>
      </c>
      <c r="I293" s="10" t="inlineStr"/>
      <c r="J293" s="10" t="inlineStr">
        <is>
          <t>Consider active voice</t>
        </is>
      </c>
      <c r="K293" s="10" t="inlineStr">
        <is>
          <t>Not reviewed</t>
        </is>
      </c>
      <c r="L293" s="10" t="inlineStr"/>
    </row>
    <row r="294">
      <c r="A294" s="10" t="inlineStr">
        <is>
          <t>7.5 Digital control remains downstream of physical validation</t>
        </is>
      </c>
      <c r="B294" s="10" t="n">
        <v>143</v>
      </c>
      <c r="C294" s="10" t="n">
        <v>1</v>
      </c>
      <c r="D294" s="10" t="inlineStr">
        <is>
          <t>Acoustic state estimation can become a useful control layer, but the reviewed literature does not demonstrate closed-loop, resonance-guided treatment of intact fruit.</t>
        </is>
      </c>
      <c r="E294" s="10" t="n">
        <v>22</v>
      </c>
      <c r="F294" s="10" t="inlineStr">
        <is>
          <t>No</t>
        </is>
      </c>
      <c r="G294" s="10" t="inlineStr">
        <is>
          <t>No</t>
        </is>
      </c>
      <c r="H294" s="10" t="n">
        <v>3</v>
      </c>
      <c r="I294" s="10" t="inlineStr"/>
      <c r="J294" s="10" t="inlineStr">
        <is>
          <t>Replace noun-heavy phrasing</t>
        </is>
      </c>
      <c r="K294" s="10" t="inlineStr">
        <is>
          <t>Not reviewed</t>
        </is>
      </c>
      <c r="L294" s="10" t="inlineStr"/>
    </row>
    <row r="295">
      <c r="A295" s="10" t="inlineStr">
        <is>
          <t>7.5 Digital control remains downstream of physical validation</t>
        </is>
      </c>
      <c r="B295" s="10" t="n">
        <v>143</v>
      </c>
      <c r="C295" s="10" t="n">
        <v>2</v>
      </c>
      <c r="D295" s="10" t="inlineStr">
        <is>
          <t>A digital model receives manually supplied data; a digital shadow receives automated data in one direction; a digital twin requires continuing state exchange and a bidirectional decision link [97–100].</t>
        </is>
      </c>
      <c r="E295" s="10" t="n">
        <v>30</v>
      </c>
      <c r="F295" s="10" t="inlineStr">
        <is>
          <t>Yes</t>
        </is>
      </c>
      <c r="G295" s="10" t="inlineStr">
        <is>
          <t>No</t>
        </is>
      </c>
      <c r="H295" s="10" t="n">
        <v>6</v>
      </c>
      <c r="I295" s="10" t="inlineStr"/>
      <c r="J295" s="10" t="inlineStr">
        <is>
          <t>Split or simplify; Replace noun-heavy phrasing</t>
        </is>
      </c>
      <c r="K295" s="10" t="inlineStr">
        <is>
          <t>Not reviewed</t>
        </is>
      </c>
      <c r="L295" s="10" t="inlineStr"/>
    </row>
    <row r="296">
      <c r="A296" s="10" t="inlineStr">
        <is>
          <t>7.5 Digital control remains downstream of physical validation</t>
        </is>
      </c>
      <c r="B296" s="10" t="n">
        <v>143</v>
      </c>
      <c r="C296" s="10" t="n">
        <v>3</v>
      </c>
      <c r="D296" s="10" t="inlineStr">
        <is>
          <t>A dashboard attached to a finite-element model does not establish a twin.</t>
        </is>
      </c>
      <c r="E296" s="10" t="n">
        <v>12</v>
      </c>
      <c r="F296" s="10" t="inlineStr">
        <is>
          <t>No</t>
        </is>
      </c>
      <c r="G296" s="10" t="inlineStr">
        <is>
          <t>No</t>
        </is>
      </c>
      <c r="H296" s="10" t="n">
        <v>1</v>
      </c>
      <c r="I296" s="10" t="inlineStr"/>
      <c r="J296" s="10" t="inlineStr"/>
      <c r="K296" s="10" t="inlineStr">
        <is>
          <t>Not reviewed</t>
        </is>
      </c>
      <c r="L296" s="10" t="inlineStr"/>
    </row>
    <row r="297">
      <c r="A297" s="10" t="inlineStr">
        <is>
          <t>7.5 Digital control remains downstream of physical validation</t>
        </is>
      </c>
      <c r="B297" s="10" t="n">
        <v>144</v>
      </c>
      <c r="C297" s="10" t="n">
        <v>1</v>
      </c>
      <c r="D297" s="10" t="inlineStr">
        <is>
          <t>Food research demonstrates components of this architecture: physics-based fruit and container models estimate thermal, moisture and quality histories [106–123], and acoustic sensing estimates selected mechanical states [14–25,75–84].</t>
        </is>
      </c>
      <c r="E297" s="10" t="n">
        <v>31</v>
      </c>
      <c r="F297" s="10" t="inlineStr">
        <is>
          <t>Yes</t>
        </is>
      </c>
      <c r="G297" s="10" t="inlineStr">
        <is>
          <t>No</t>
        </is>
      </c>
      <c r="H297" s="10" t="n">
        <v>2</v>
      </c>
      <c r="I297" s="10" t="inlineStr"/>
      <c r="J297" s="10" t="inlineStr">
        <is>
          <t>Split or simplify</t>
        </is>
      </c>
      <c r="K297" s="10" t="inlineStr">
        <is>
          <t>Not reviewed</t>
        </is>
      </c>
      <c r="L297" s="10" t="inlineStr"/>
    </row>
    <row r="298">
      <c r="A298" s="10" t="inlineStr">
        <is>
          <t>7.5 Digital control remains downstream of physical validation</t>
        </is>
      </c>
      <c r="B298" s="10" t="n">
        <v>144</v>
      </c>
      <c r="C298" s="10" t="n">
        <v>2</v>
      </c>
      <c r="D298" s="10" t="inlineStr">
        <is>
          <t>The missing link is validated intervention in which estimated state changes the exposure, receiver delivery is verified and the model updates from later quality.</t>
        </is>
      </c>
      <c r="E298" s="10" t="n">
        <v>24</v>
      </c>
      <c r="F298" s="10" t="inlineStr">
        <is>
          <t>No</t>
        </is>
      </c>
      <c r="G298" s="10" t="inlineStr">
        <is>
          <t>Yes</t>
        </is>
      </c>
      <c r="H298" s="10" t="n">
        <v>1</v>
      </c>
      <c r="I298" s="10" t="inlineStr"/>
      <c r="J298" s="10" t="inlineStr">
        <is>
          <t>Consider active voice</t>
        </is>
      </c>
      <c r="K298" s="10" t="inlineStr">
        <is>
          <t>Not reviewed</t>
        </is>
      </c>
      <c r="L298" s="10" t="inlineStr"/>
    </row>
    <row r="299">
      <c r="A299" s="10" t="inlineStr">
        <is>
          <t>7.5 Digital control remains downstream of physical validation</t>
        </is>
      </c>
      <c r="B299" s="10" t="n">
        <v>144</v>
      </c>
      <c r="C299" s="10" t="n">
        <v>3</v>
      </c>
      <c r="D299" s="10" t="inlineStr">
        <is>
          <t>Under high uncertainty, the correct action is another diagnostic probe, a conventional assay or abstention—not extrapolation beyond the Operating Window.</t>
        </is>
      </c>
      <c r="E299" s="10" t="n">
        <v>21</v>
      </c>
      <c r="F299" s="10" t="inlineStr">
        <is>
          <t>No</t>
        </is>
      </c>
      <c r="G299" s="10" t="inlineStr">
        <is>
          <t>No</t>
        </is>
      </c>
      <c r="H299" s="10" t="n">
        <v>4</v>
      </c>
      <c r="I299" s="10" t="inlineStr"/>
      <c r="J299" s="10" t="inlineStr">
        <is>
          <t>Replace noun-heavy phrasing</t>
        </is>
      </c>
      <c r="K299" s="10" t="inlineStr">
        <is>
          <t>Not reviewed</t>
        </is>
      </c>
      <c r="L299" s="10" t="inlineStr"/>
    </row>
    <row r="300">
      <c r="A300" s="10" t="inlineStr">
        <is>
          <t>8.1 The motion-clamped, route-separated experiment</t>
        </is>
      </c>
      <c r="B300" s="10" t="n">
        <v>147</v>
      </c>
      <c r="C300" s="10" t="n">
        <v>1</v>
      </c>
      <c r="D300" s="10" t="inlineStr">
        <is>
          <t>The highest-leverage experiment assigns each fruit a persistent identifier, maps the loaded chamber for pressure, particle velocity and support acceleration, and estimates representative fruit frequency responses with a low-energy sweep.</t>
        </is>
      </c>
      <c r="E300" s="10" t="n">
        <v>30</v>
      </c>
      <c r="F300" s="10" t="inlineStr">
        <is>
          <t>Yes</t>
        </is>
      </c>
      <c r="G300" s="10" t="inlineStr">
        <is>
          <t>No</t>
        </is>
      </c>
      <c r="H300" s="10" t="n">
        <v>2</v>
      </c>
      <c r="I300" s="10" t="inlineStr"/>
      <c r="J300" s="10" t="inlineStr">
        <is>
          <t>Split or simplify</t>
        </is>
      </c>
      <c r="K300" s="10" t="inlineStr">
        <is>
          <t>Not reviewed</t>
        </is>
      </c>
      <c r="L300" s="10" t="inlineStr"/>
    </row>
    <row r="301">
      <c r="A301" s="10" t="inlineStr">
        <is>
          <t>8.1 The motion-clamped, route-separated experiment</t>
        </is>
      </c>
      <c r="B301" s="10" t="n">
        <v>147</v>
      </c>
      <c r="C301" s="10" t="n">
        <v>2</v>
      </c>
      <c r="D301" s="10" t="inlineStr">
        <is>
          <t>Treatments first compare equal local pressure on and away from a measured response feature, then compare two frequencies at equal receiver motion.</t>
        </is>
      </c>
      <c r="E301" s="10" t="n">
        <v>22</v>
      </c>
      <c r="F301" s="10" t="inlineStr">
        <is>
          <t>No</t>
        </is>
      </c>
      <c r="G301" s="10" t="inlineStr">
        <is>
          <t>No</t>
        </is>
      </c>
      <c r="H301" s="10" t="n">
        <v>4</v>
      </c>
      <c r="I301" s="10" t="inlineStr"/>
      <c r="J301" s="10" t="inlineStr">
        <is>
          <t>Replace noun-heavy phrasing</t>
        </is>
      </c>
      <c r="K301" s="10" t="inlineStr">
        <is>
          <t>Not reviewed</t>
        </is>
      </c>
      <c r="L301" s="10" t="inlineStr"/>
    </row>
    <row r="302">
      <c r="A302" s="10" t="inlineStr">
        <is>
          <t>8.1 The motion-clamped, route-separated experiment</t>
        </is>
      </c>
      <c r="B302" s="10" t="n">
        <v>147</v>
      </c>
      <c r="C302" s="10" t="n">
        <v>3</v>
      </c>
      <c r="D302" s="10" t="inlineStr">
        <is>
          <t>Temperature, airflow, humidity, gas history and support-only shams remain matched.</t>
        </is>
      </c>
      <c r="E302" s="10" t="n">
        <v>10</v>
      </c>
      <c r="F302" s="10" t="inlineStr">
        <is>
          <t>No</t>
        </is>
      </c>
      <c r="G302" s="10" t="inlineStr">
        <is>
          <t>No</t>
        </is>
      </c>
      <c r="H302" s="10" t="n">
        <v>0</v>
      </c>
      <c r="I302" s="10" t="inlineStr"/>
      <c r="J302" s="10" t="inlineStr"/>
      <c r="K302" s="10" t="inlineStr">
        <is>
          <t>Not reviewed</t>
        </is>
      </c>
      <c r="L302" s="10" t="inlineStr"/>
    </row>
    <row r="303">
      <c r="A303" s="10" t="inlineStr">
        <is>
          <t>8.1 The motion-clamped, route-separated experiment</t>
        </is>
      </c>
      <c r="B303" s="10" t="n">
        <v>147</v>
      </c>
      <c r="C303" s="10" t="n">
        <v>4</v>
      </c>
      <c r="D303" s="10" t="inlineStr">
        <is>
          <t>Fruit-level quality trajectories and chamber- or vessel-level gas measurements are analysed at their correct units.</t>
        </is>
      </c>
      <c r="E303" s="10" t="n">
        <v>15</v>
      </c>
      <c r="F303" s="10" t="inlineStr">
        <is>
          <t>No</t>
        </is>
      </c>
      <c r="G303" s="10" t="inlineStr">
        <is>
          <t>Yes</t>
        </is>
      </c>
      <c r="H303" s="10" t="n">
        <v>0</v>
      </c>
      <c r="I303" s="10" t="inlineStr"/>
      <c r="J303" s="10" t="inlineStr">
        <is>
          <t>Consider active voice</t>
        </is>
      </c>
      <c r="K303" s="10" t="inlineStr">
        <is>
          <t>Not reviewed</t>
        </is>
      </c>
      <c r="L303" s="10" t="inlineStr"/>
    </row>
    <row r="304">
      <c r="A304" s="10" t="inlineStr">
        <is>
          <t>8.1 The motion-clamped, route-separated experiment</t>
        </is>
      </c>
      <c r="B304" s="10" t="n">
        <v>148</v>
      </c>
      <c r="C304" s="10" t="n">
        <v>1</v>
      </c>
      <c r="D304" s="10" t="inlineStr">
        <is>
          <t>The design yields four decisive outcomes.</t>
        </is>
      </c>
      <c r="E304" s="10" t="n">
        <v>6</v>
      </c>
      <c r="F304" s="10" t="inlineStr">
        <is>
          <t>No</t>
        </is>
      </c>
      <c r="G304" s="10" t="inlineStr">
        <is>
          <t>No</t>
        </is>
      </c>
      <c r="H304" s="10" t="n">
        <v>0</v>
      </c>
      <c r="I304" s="10" t="inlineStr"/>
      <c r="J304" s="10" t="inlineStr"/>
      <c r="K304" s="10" t="inlineStr">
        <is>
          <t>Not reviewed</t>
        </is>
      </c>
      <c r="L304" s="10" t="inlineStr"/>
    </row>
    <row r="305">
      <c r="A305" s="10" t="inlineStr">
        <is>
          <t>8.1 The motion-clamped, route-separated experiment</t>
        </is>
      </c>
      <c r="B305" s="10" t="n">
        <v>148</v>
      </c>
      <c r="C305" s="10" t="n">
        <v>2</v>
      </c>
      <c r="D305" s="10" t="inlineStr">
        <is>
          <t>If quality follows fruit motion, the receiver-centred thesis gains direct support.</t>
        </is>
      </c>
      <c r="E305" s="10" t="n">
        <v>11</v>
      </c>
      <c r="F305" s="10" t="inlineStr">
        <is>
          <t>No</t>
        </is>
      </c>
      <c r="G305" s="10" t="inlineStr">
        <is>
          <t>No</t>
        </is>
      </c>
      <c r="H305" s="10" t="n">
        <v>1</v>
      </c>
      <c r="I305" s="10" t="inlineStr"/>
      <c r="J305" s="10" t="inlineStr"/>
      <c r="K305" s="10" t="inlineStr">
        <is>
          <t>Not reviewed</t>
        </is>
      </c>
      <c r="L305" s="10" t="inlineStr"/>
    </row>
    <row r="306">
      <c r="A306" s="10" t="inlineStr">
        <is>
          <t>8.1 The motion-clamped, route-separated experiment</t>
        </is>
      </c>
      <c r="B306" s="10" t="n">
        <v>148</v>
      </c>
      <c r="C306" s="10" t="n">
        <v>3</v>
      </c>
      <c r="D306" s="10" t="inlineStr">
        <is>
          <t>If it follows shelf acceleration, the treatment is structure-borne.</t>
        </is>
      </c>
      <c r="E306" s="10" t="n">
        <v>9</v>
      </c>
      <c r="F306" s="10" t="inlineStr">
        <is>
          <t>No</t>
        </is>
      </c>
      <c r="G306" s="10" t="inlineStr">
        <is>
          <t>No</t>
        </is>
      </c>
      <c r="H306" s="10" t="n">
        <v>2</v>
      </c>
      <c r="I306" s="10" t="inlineStr"/>
      <c r="J306" s="10" t="inlineStr"/>
      <c r="K306" s="10" t="inlineStr">
        <is>
          <t>Not reviewed</t>
        </is>
      </c>
      <c r="L306" s="10" t="inlineStr"/>
    </row>
    <row r="307">
      <c r="A307" s="10" t="inlineStr">
        <is>
          <t>8.1 The motion-clamped, route-separated experiment</t>
        </is>
      </c>
      <c r="B307" s="10" t="n">
        <v>148</v>
      </c>
      <c r="C307" s="10" t="n">
        <v>4</v>
      </c>
      <c r="D307" s="10" t="inlineStr">
        <is>
          <t>If it follows temperature or airflow, the dominant route is environmental.</t>
        </is>
      </c>
      <c r="E307" s="10" t="n">
        <v>11</v>
      </c>
      <c r="F307" s="10" t="inlineStr">
        <is>
          <t>No</t>
        </is>
      </c>
      <c r="G307" s="10" t="inlineStr">
        <is>
          <t>No</t>
        </is>
      </c>
      <c r="H307" s="10" t="n">
        <v>1</v>
      </c>
      <c r="I307" s="10" t="inlineStr"/>
      <c r="J307" s="10" t="inlineStr"/>
      <c r="K307" s="10" t="inlineStr">
        <is>
          <t>Not reviewed</t>
        </is>
      </c>
      <c r="L307" s="10" t="inlineStr"/>
    </row>
    <row r="308">
      <c r="A308" s="10" t="inlineStr">
        <is>
          <t>8.1 The motion-clamped, route-separated experiment</t>
        </is>
      </c>
      <c r="B308" s="10" t="n">
        <v>148</v>
      </c>
      <c r="C308" s="10" t="n">
        <v>5</v>
      </c>
      <c r="D308" s="10" t="inlineStr">
        <is>
          <t>If it remains frequency-specific after receiver motion is equalized, the strain explanation is incomplete and another biochemical or measurement mechanism must be sought.</t>
        </is>
      </c>
      <c r="E308" s="10" t="n">
        <v>23</v>
      </c>
      <c r="F308" s="10" t="inlineStr">
        <is>
          <t>No</t>
        </is>
      </c>
      <c r="G308" s="10" t="inlineStr">
        <is>
          <t>Yes</t>
        </is>
      </c>
      <c r="H308" s="10" t="n">
        <v>4</v>
      </c>
      <c r="I308" s="10" t="inlineStr"/>
      <c r="J308" s="10" t="inlineStr">
        <is>
          <t>Consider active voice; Replace noun-heavy phrasing</t>
        </is>
      </c>
      <c r="K308" s="10" t="inlineStr">
        <is>
          <t>Not reviewed</t>
        </is>
      </c>
      <c r="L308" s="10" t="inlineStr"/>
    </row>
    <row r="309">
      <c r="A309" s="10" t="inlineStr">
        <is>
          <t>8.1 The motion-clamped, route-separated experiment</t>
        </is>
      </c>
      <c r="B309" s="10" t="n">
        <v>148</v>
      </c>
      <c r="C309" s="10" t="n">
        <v>6</v>
      </c>
      <c r="D309" s="10" t="inlineStr">
        <is>
          <t>Every outcome narrows the causal model.</t>
        </is>
      </c>
      <c r="E309" s="10" t="n">
        <v>6</v>
      </c>
      <c r="F309" s="10" t="inlineStr">
        <is>
          <t>No</t>
        </is>
      </c>
      <c r="G309" s="10" t="inlineStr">
        <is>
          <t>No</t>
        </is>
      </c>
      <c r="H309" s="10" t="n">
        <v>1</v>
      </c>
      <c r="I309" s="10" t="inlineStr"/>
      <c r="J309" s="10" t="inlineStr"/>
      <c r="K309" s="10" t="inlineStr">
        <is>
          <t>Not reviewed</t>
        </is>
      </c>
      <c r="L309" s="10" t="inlineStr"/>
    </row>
    <row r="310">
      <c r="A310" s="10" t="inlineStr">
        <is>
          <t>8.2 Three-stage programme</t>
        </is>
      </c>
      <c r="B310" s="10" t="n">
        <v>150</v>
      </c>
      <c r="C310" s="10" t="n">
        <v>1</v>
      </c>
      <c r="D310" s="10" t="inlineStr">
        <is>
          <t>Stage 1—close the physical route.</t>
        </is>
      </c>
      <c r="E310" s="10" t="n">
        <v>6</v>
      </c>
      <c r="F310" s="10" t="inlineStr">
        <is>
          <t>No</t>
        </is>
      </c>
      <c r="G310" s="10" t="inlineStr">
        <is>
          <t>No</t>
        </is>
      </c>
      <c r="H310" s="10" t="n">
        <v>1</v>
      </c>
      <c r="I310" s="10" t="inlineStr"/>
      <c r="J310" s="10" t="inlineStr"/>
      <c r="K310" s="10" t="inlineStr">
        <is>
          <t>Not reviewed</t>
        </is>
      </c>
      <c r="L310" s="10" t="inlineStr"/>
    </row>
    <row r="311">
      <c r="A311" s="10" t="inlineStr">
        <is>
          <t>8.2 Three-stage programme</t>
        </is>
      </c>
      <c r="B311" s="10" t="n">
        <v>150</v>
      </c>
      <c r="C311" s="10" t="n">
        <v>2</v>
      </c>
      <c r="D311" s="10" t="inlineStr">
        <is>
          <t>Establish coupling, repeatability and adverse boundaries in one mechanically tractable fruit.</t>
        </is>
      </c>
      <c r="E311" s="10" t="n">
        <v>11</v>
      </c>
      <c r="F311" s="10" t="inlineStr">
        <is>
          <t>No</t>
        </is>
      </c>
      <c r="G311" s="10" t="inlineStr">
        <is>
          <t>No</t>
        </is>
      </c>
      <c r="H311" s="10" t="n">
        <v>1</v>
      </c>
      <c r="I311" s="10" t="inlineStr"/>
      <c r="J311" s="10" t="inlineStr"/>
      <c r="K311" s="10" t="inlineStr">
        <is>
          <t>Not reviewed</t>
        </is>
      </c>
      <c r="L311" s="10" t="inlineStr"/>
    </row>
    <row r="312">
      <c r="A312" s="10" t="inlineStr">
        <is>
          <t>8.2 Three-stage programme</t>
        </is>
      </c>
      <c r="B312" s="10" t="n">
        <v>151</v>
      </c>
      <c r="C312" s="10" t="n">
        <v>1</v>
      </c>
      <c r="D312" s="10" t="inlineStr">
        <is>
          <t>Stage 2—map state dependence.</t>
        </is>
      </c>
      <c r="E312" s="10" t="n">
        <v>5</v>
      </c>
      <c r="F312" s="10" t="inlineStr">
        <is>
          <t>No</t>
        </is>
      </c>
      <c r="G312" s="10" t="inlineStr">
        <is>
          <t>No</t>
        </is>
      </c>
      <c r="H312" s="10" t="n">
        <v>1</v>
      </c>
      <c r="I312" s="10" t="inlineStr"/>
      <c r="J312" s="10" t="inlineStr"/>
      <c r="K312" s="10" t="inlineStr">
        <is>
          <t>Not reviewed</t>
        </is>
      </c>
      <c r="L312" s="10" t="inlineStr"/>
    </row>
    <row r="313">
      <c r="A313" s="10" t="inlineStr">
        <is>
          <t>8.2 Three-stage programme</t>
        </is>
      </c>
      <c r="B313" s="10" t="n">
        <v>151</v>
      </c>
      <c r="C313" s="10" t="n">
        <v>2</v>
      </c>
      <c r="D313" s="10" t="inlineStr">
        <is>
          <t>Repeat across maturity and include a soft, highly damped fruit to test the boundary of narrowband resonance control.</t>
        </is>
      </c>
      <c r="E313" s="10" t="n">
        <v>18</v>
      </c>
      <c r="F313" s="10" t="inlineStr">
        <is>
          <t>No</t>
        </is>
      </c>
      <c r="G313" s="10" t="inlineStr">
        <is>
          <t>No</t>
        </is>
      </c>
      <c r="H313" s="10" t="n">
        <v>1</v>
      </c>
      <c r="I313" s="10" t="inlineStr"/>
      <c r="J313" s="10" t="inlineStr"/>
      <c r="K313" s="10" t="inlineStr">
        <is>
          <t>Not reviewed</t>
        </is>
      </c>
      <c r="L313" s="10" t="inlineStr"/>
    </row>
    <row r="314">
      <c r="A314" s="10" t="inlineStr">
        <is>
          <t>8.2 Three-stage programme</t>
        </is>
      </c>
      <c r="B314" s="10" t="n">
        <v>152</v>
      </c>
      <c r="C314" s="10" t="n">
        <v>1</v>
      </c>
      <c r="D314" s="10" t="inlineStr">
        <is>
          <t>Stage 3—test transfer.</t>
        </is>
      </c>
      <c r="E314" s="10" t="n">
        <v>4</v>
      </c>
      <c r="F314" s="10" t="inlineStr">
        <is>
          <t>No</t>
        </is>
      </c>
      <c r="G314" s="10" t="inlineStr">
        <is>
          <t>No</t>
        </is>
      </c>
      <c r="H314" s="10" t="n">
        <v>0</v>
      </c>
      <c r="I314" s="10" t="inlineStr"/>
      <c r="J314" s="10" t="inlineStr"/>
      <c r="K314" s="10" t="inlineStr">
        <is>
          <t>Not reviewed</t>
        </is>
      </c>
      <c r="L314" s="10" t="inlineStr"/>
    </row>
    <row r="315">
      <c r="A315" s="10" t="inlineStr">
        <is>
          <t>8.2 Three-stage programme</t>
        </is>
      </c>
      <c r="B315" s="10" t="n">
        <v>152</v>
      </c>
      <c r="C315" s="10" t="n">
        <v>2</v>
      </c>
      <c r="D315" s="10" t="inlineStr">
        <is>
          <t>Lock the exposure estimator and evaluate a new batch, load, chamber and independent laboratory.</t>
        </is>
      </c>
      <c r="E315" s="10" t="n">
        <v>14</v>
      </c>
      <c r="F315" s="10" t="inlineStr">
        <is>
          <t>No</t>
        </is>
      </c>
      <c r="G315" s="10" t="inlineStr">
        <is>
          <t>No</t>
        </is>
      </c>
      <c r="H315" s="10" t="n">
        <v>0</v>
      </c>
      <c r="I315" s="10" t="inlineStr"/>
      <c r="J315" s="10" t="inlineStr"/>
      <c r="K315" s="10" t="inlineStr">
        <is>
          <t>Not reviewed</t>
        </is>
      </c>
      <c r="L315" s="10" t="inlineStr"/>
    </row>
    <row r="316">
      <c r="A316" s="10" t="inlineStr">
        <is>
          <t>8.2 Three-stage programme</t>
        </is>
      </c>
      <c r="B316" s="10" t="n">
        <v>152</v>
      </c>
      <c r="C316" s="10" t="n">
        <v>3</v>
      </c>
      <c r="D316" s="10" t="inlineStr">
        <is>
          <t>Add omics only after the physical route and temporal sampling plan are fixed.</t>
        </is>
      </c>
      <c r="E316" s="10" t="n">
        <v>13</v>
      </c>
      <c r="F316" s="10" t="inlineStr">
        <is>
          <t>No</t>
        </is>
      </c>
      <c r="G316" s="10" t="inlineStr">
        <is>
          <t>Yes</t>
        </is>
      </c>
      <c r="H316" s="10" t="n">
        <v>2</v>
      </c>
      <c r="I316" s="10" t="inlineStr"/>
      <c r="J316" s="10" t="inlineStr">
        <is>
          <t>Consider active voice</t>
        </is>
      </c>
      <c r="K316" s="10" t="inlineStr">
        <is>
          <t>Not reviewed</t>
        </is>
      </c>
      <c r="L316" s="10" t="inlineStr"/>
    </row>
    <row r="317">
      <c r="A317" s="10" t="inlineStr">
        <is>
          <t>8.2 Three-stage programme</t>
        </is>
      </c>
      <c r="B317" s="10" t="n">
        <v>153</v>
      </c>
      <c r="C317" s="10" t="n">
        <v>1</v>
      </c>
      <c r="D317" s="10" t="inlineStr">
        <is>
          <t>Preregistration should specify the primary receiver metric, shelf-quality endpoint, trajectory model, exclusion rules, equivalence margin and pass criterion.</t>
        </is>
      </c>
      <c r="E317" s="10" t="n">
        <v>18</v>
      </c>
      <c r="F317" s="10" t="inlineStr">
        <is>
          <t>No</t>
        </is>
      </c>
      <c r="G317" s="10" t="inlineStr">
        <is>
          <t>No</t>
        </is>
      </c>
      <c r="H317" s="10" t="n">
        <v>3</v>
      </c>
      <c r="I317" s="10" t="inlineStr"/>
      <c r="J317" s="10" t="inlineStr">
        <is>
          <t>Replace noun-heavy phrasing</t>
        </is>
      </c>
      <c r="K317" s="10" t="inlineStr">
        <is>
          <t>Not reviewed</t>
        </is>
      </c>
      <c r="L317" s="10" t="inlineStr"/>
    </row>
    <row r="318">
      <c r="A318" s="10" t="inlineStr">
        <is>
          <t>8.2 Three-stage programme</t>
        </is>
      </c>
      <c r="B318" s="10" t="n">
        <v>153</v>
      </c>
      <c r="C318" s="10" t="n">
        <v>2</v>
      </c>
      <c r="D318" s="10" t="inlineStr">
        <is>
          <t>Randomization should span chamber position and harvest batch.</t>
        </is>
      </c>
      <c r="E318" s="10" t="n">
        <v>8</v>
      </c>
      <c r="F318" s="10" t="inlineStr">
        <is>
          <t>No</t>
        </is>
      </c>
      <c r="G318" s="10" t="inlineStr">
        <is>
          <t>No</t>
        </is>
      </c>
      <c r="H318" s="10" t="n">
        <v>2</v>
      </c>
      <c r="I318" s="10" t="inlineStr"/>
      <c r="J318" s="10" t="inlineStr"/>
      <c r="K318" s="10" t="inlineStr">
        <is>
          <t>Not reviewed</t>
        </is>
      </c>
      <c r="L318" s="10" t="inlineStr"/>
    </row>
    <row r="319">
      <c r="A319" s="10" t="inlineStr">
        <is>
          <t>8.2 Three-stage programme</t>
        </is>
      </c>
      <c r="B319" s="10" t="n">
        <v>153</v>
      </c>
      <c r="C319" s="10" t="n">
        <v>3</v>
      </c>
      <c r="D319" s="10" t="inlineStr">
        <is>
          <t>Analyses should display individual trajectories and baseline-state-by-exposure interactions.</t>
        </is>
      </c>
      <c r="E319" s="10" t="n">
        <v>8</v>
      </c>
      <c r="F319" s="10" t="inlineStr">
        <is>
          <t>No</t>
        </is>
      </c>
      <c r="G319" s="10" t="inlineStr">
        <is>
          <t>No</t>
        </is>
      </c>
      <c r="H319" s="10" t="n">
        <v>1</v>
      </c>
      <c r="I319" s="10" t="inlineStr"/>
      <c r="J319" s="10" t="inlineStr"/>
      <c r="K319" s="10" t="inlineStr">
        <is>
          <t>Not reviewed</t>
        </is>
      </c>
      <c r="L319" s="10" t="inlineStr"/>
    </row>
    <row r="320">
      <c r="A320" s="10" t="inlineStr">
        <is>
          <t>8.2 Three-stage programme</t>
        </is>
      </c>
      <c r="B320" s="10" t="n">
        <v>153</v>
      </c>
      <c r="C320" s="10" t="n">
        <v>4</v>
      </c>
      <c r="D320" s="10" t="inlineStr">
        <is>
          <t>External validation must not reuse fruit that trained the exposure or state estimator.</t>
        </is>
      </c>
      <c r="E320" s="10" t="n">
        <v>13</v>
      </c>
      <c r="F320" s="10" t="inlineStr">
        <is>
          <t>No</t>
        </is>
      </c>
      <c r="G320" s="10" t="inlineStr">
        <is>
          <t>No</t>
        </is>
      </c>
      <c r="H320" s="10" t="n">
        <v>2</v>
      </c>
      <c r="I320" s="10" t="inlineStr"/>
      <c r="J320" s="10" t="inlineStr"/>
      <c r="K320" s="10" t="inlineStr">
        <is>
          <t>Not reviewed</t>
        </is>
      </c>
      <c r="L320" s="10" t="inlineStr"/>
    </row>
    <row r="321">
      <c r="A321" s="10" t="inlineStr">
        <is>
          <t>8.2 Three-stage programme</t>
        </is>
      </c>
      <c r="B321" s="10" t="n">
        <v>153</v>
      </c>
      <c r="C321" s="10" t="n">
        <v>5</v>
      </c>
      <c r="D321" s="10" t="inlineStr">
        <is>
          <t>Supplementary Table S5 provides a structured protocol without fabricating sample-size or equivalence values that require pilot data.</t>
        </is>
      </c>
      <c r="E321" s="10" t="n">
        <v>17</v>
      </c>
      <c r="F321" s="10" t="inlineStr">
        <is>
          <t>No</t>
        </is>
      </c>
      <c r="G321" s="10" t="inlineStr">
        <is>
          <t>No</t>
        </is>
      </c>
      <c r="H321" s="10" t="n">
        <v>1</v>
      </c>
      <c r="I321" s="10" t="inlineStr"/>
      <c r="J321" s="10" t="inlineStr"/>
      <c r="K321" s="10" t="inlineStr">
        <is>
          <t>Not reviewed</t>
        </is>
      </c>
      <c r="L321" s="10" t="inlineStr"/>
    </row>
    <row r="322">
      <c r="A322" s="10" t="inlineStr">
        <is>
          <t>9. Limitations and boundary conditions</t>
        </is>
      </c>
      <c r="B322" s="10" t="n">
        <v>155</v>
      </c>
      <c r="C322" s="10" t="n">
        <v>1</v>
      </c>
      <c r="D322" s="10" t="inlineStr">
        <is>
          <t>The review is question-led and does not claim the exhaustiveness of a fully systematic meta-analysis.</t>
        </is>
      </c>
      <c r="E322" s="10" t="n">
        <v>15</v>
      </c>
      <c r="F322" s="10" t="inlineStr">
        <is>
          <t>No</t>
        </is>
      </c>
      <c r="G322" s="10" t="inlineStr">
        <is>
          <t>No</t>
        </is>
      </c>
      <c r="H322" s="10" t="n">
        <v>1</v>
      </c>
      <c r="I322" s="10" t="inlineStr"/>
      <c r="J322" s="10" t="inlineStr"/>
      <c r="K322" s="10" t="inlineStr">
        <is>
          <t>Not reviewed</t>
        </is>
      </c>
      <c r="L322" s="10" t="inlineStr"/>
    </row>
    <row r="323">
      <c r="A323" s="10" t="inlineStr">
        <is>
          <t>9. Limitations and boundary conditions</t>
        </is>
      </c>
      <c r="B323" s="10" t="n">
        <v>155</v>
      </c>
      <c r="C323" s="10" t="n">
        <v>2</v>
      </c>
      <c r="D323" s="10" t="inlineStr">
        <is>
          <t>Its strongest absence statements apply to the seven retained airborne-fruit studies.</t>
        </is>
      </c>
      <c r="E323" s="10" t="n">
        <v>11</v>
      </c>
      <c r="F323" s="10" t="inlineStr">
        <is>
          <t>No</t>
        </is>
      </c>
      <c r="G323" s="10" t="inlineStr">
        <is>
          <t>No</t>
        </is>
      </c>
      <c r="H323" s="10" t="n">
        <v>1</v>
      </c>
      <c r="I323" s="10" t="inlineStr"/>
      <c r="J323" s="10" t="inlineStr"/>
      <c r="K323" s="10" t="inlineStr">
        <is>
          <t>Not reviewed</t>
        </is>
      </c>
      <c r="L323" s="10" t="inlineStr"/>
    </row>
    <row r="324">
      <c r="A324" s="10" t="inlineStr">
        <is>
          <t>9. Limitations and boundary conditions</t>
        </is>
      </c>
      <c r="B324" s="10" t="n">
        <v>155</v>
      </c>
      <c r="C324" s="10" t="n">
        <v>3</v>
      </c>
      <c r="D324" s="10" t="inlineStr">
        <is>
          <t>Final submission should include exact search strings, interfaces, screening counts, exclusion reasons and second-reviewer checking.</t>
        </is>
      </c>
      <c r="E324" s="10" t="n">
        <v>15</v>
      </c>
      <c r="F324" s="10" t="inlineStr">
        <is>
          <t>No</t>
        </is>
      </c>
      <c r="G324" s="10" t="inlineStr">
        <is>
          <t>No</t>
        </is>
      </c>
      <c r="H324" s="10" t="n">
        <v>3</v>
      </c>
      <c r="I324" s="10" t="inlineStr"/>
      <c r="J324" s="10" t="inlineStr">
        <is>
          <t>Replace noun-heavy phrasing</t>
        </is>
      </c>
      <c r="K324" s="10" t="inlineStr">
        <is>
          <t>Not reviewed</t>
        </is>
      </c>
      <c r="L324" s="10" t="inlineStr"/>
    </row>
    <row r="325">
      <c r="A325" s="10" t="inlineStr">
        <is>
          <t>9. Limitations and boundary conditions</t>
        </is>
      </c>
      <c r="B325" s="10" t="n">
        <v>156</v>
      </c>
      <c r="C325" s="10" t="n">
        <v>1</v>
      </c>
      <c r="D325" s="10" t="inlineStr">
        <is>
          <t>The detached-fruit evidence remains small and concentrated in a connected tomato lineage.</t>
        </is>
      </c>
      <c r="E325" s="10" t="n">
        <v>12</v>
      </c>
      <c r="F325" s="10" t="inlineStr">
        <is>
          <t>No</t>
        </is>
      </c>
      <c r="G325" s="10" t="inlineStr">
        <is>
          <t>No</t>
        </is>
      </c>
      <c r="H325" s="10" t="n">
        <v>1</v>
      </c>
      <c r="I325" s="10" t="inlineStr"/>
      <c r="J325" s="10" t="inlineStr"/>
      <c r="K325" s="10" t="inlineStr">
        <is>
          <t>Not reviewed</t>
        </is>
      </c>
      <c r="L325" s="10" t="inlineStr"/>
    </row>
    <row r="326">
      <c r="A326" s="10" t="inlineStr">
        <is>
          <t>9. Limitations and boundary conditions</t>
        </is>
      </c>
      <c r="B326" s="10" t="n">
        <v>156</v>
      </c>
      <c r="C326" s="10" t="n">
        <v>2</v>
      </c>
      <c r="D326" s="10" t="inlineStr">
        <is>
          <t>Repeated related papers increase biological plausibility but do not provide independent external replication or a common reconstructed exposure.</t>
        </is>
      </c>
      <c r="E326" s="10" t="n">
        <v>18</v>
      </c>
      <c r="F326" s="10" t="inlineStr">
        <is>
          <t>No</t>
        </is>
      </c>
      <c r="G326" s="10" t="inlineStr">
        <is>
          <t>No</t>
        </is>
      </c>
      <c r="H326" s="10" t="n">
        <v>4</v>
      </c>
      <c r="I326" s="10" t="inlineStr"/>
      <c r="J326" s="10" t="inlineStr">
        <is>
          <t>Replace noun-heavy phrasing</t>
        </is>
      </c>
      <c r="K326" s="10" t="inlineStr">
        <is>
          <t>Not reviewed</t>
        </is>
      </c>
      <c r="L326" s="10" t="inlineStr"/>
    </row>
    <row r="327">
      <c r="A327" s="10" t="inlineStr">
        <is>
          <t>9. Limitations and boundary conditions</t>
        </is>
      </c>
      <c r="B327" s="10" t="n">
        <v>157</v>
      </c>
      <c r="C327" s="10" t="n">
        <v>1</v>
      </c>
      <c r="D327" s="10" t="inlineStr">
        <is>
          <t>Evidence grades contain judgement.</t>
        </is>
      </c>
      <c r="E327" s="10" t="n">
        <v>4</v>
      </c>
      <c r="F327" s="10" t="inlineStr">
        <is>
          <t>No</t>
        </is>
      </c>
      <c r="G327" s="10" t="inlineStr">
        <is>
          <t>No</t>
        </is>
      </c>
      <c r="H327" s="10" t="n">
        <v>2</v>
      </c>
      <c r="I327" s="10" t="inlineStr"/>
      <c r="J327" s="10" t="inlineStr"/>
      <c r="K327" s="10" t="inlineStr">
        <is>
          <t>Not reviewed</t>
        </is>
      </c>
      <c r="L327" s="10" t="inlineStr"/>
    </row>
    <row r="328">
      <c r="A328" s="10" t="inlineStr">
        <is>
          <t>9. Limitations and boundary conditions</t>
        </is>
      </c>
      <c r="B328" s="10" t="n">
        <v>157</v>
      </c>
      <c r="C328" s="10" t="n">
        <v>2</v>
      </c>
      <c r="D328" s="10" t="inlineStr">
        <is>
          <t>The Supplementary audit should therefore link every grade to the exact source passage and record disagreements between reviewers.</t>
        </is>
      </c>
      <c r="E328" s="10" t="n">
        <v>18</v>
      </c>
      <c r="F328" s="10" t="inlineStr">
        <is>
          <t>No</t>
        </is>
      </c>
      <c r="G328" s="10" t="inlineStr">
        <is>
          <t>No</t>
        </is>
      </c>
      <c r="H328" s="10" t="n">
        <v>0</v>
      </c>
      <c r="I328" s="10" t="inlineStr"/>
      <c r="J328" s="10" t="inlineStr"/>
      <c r="K328" s="10" t="inlineStr">
        <is>
          <t>Not reviewed</t>
        </is>
      </c>
      <c r="L328" s="10" t="inlineStr"/>
    </row>
    <row r="329">
      <c r="A329" s="10" t="inlineStr">
        <is>
          <t>9. Limitations and boundary conditions</t>
        </is>
      </c>
      <c r="B329" s="10" t="n">
        <v>157</v>
      </c>
      <c r="C329" s="10" t="n">
        <v>3</v>
      </c>
      <c r="D329" s="10" t="inlineStr">
        <is>
          <t>A low mechanical grade does not erase valid downstream chemistry; it limits causal attribution.</t>
        </is>
      </c>
      <c r="E329" s="10" t="n">
        <v>14</v>
      </c>
      <c r="F329" s="10" t="inlineStr">
        <is>
          <t>No</t>
        </is>
      </c>
      <c r="G329" s="10" t="inlineStr">
        <is>
          <t>No</t>
        </is>
      </c>
      <c r="H329" s="10" t="n">
        <v>3</v>
      </c>
      <c r="I329" s="10" t="inlineStr"/>
      <c r="J329" s="10" t="inlineStr">
        <is>
          <t>Replace noun-heavy phrasing</t>
        </is>
      </c>
      <c r="K329" s="10" t="inlineStr">
        <is>
          <t>Not reviewed</t>
        </is>
      </c>
      <c r="L329" s="10" t="inlineStr"/>
    </row>
    <row r="330">
      <c r="A330" s="10" t="inlineStr">
        <is>
          <t>9. Limitations and boundary conditions</t>
        </is>
      </c>
      <c r="B330" s="10" t="n">
        <v>158</v>
      </c>
      <c r="C330" s="10" t="n">
        <v>1</v>
      </c>
      <c r="D330" s="10" t="inlineStr">
        <is>
          <t>Receiver exposure remains a vector, and the controlling variable may differ among commodities and mechanisms.</t>
        </is>
      </c>
      <c r="E330" s="10" t="n">
        <v>15</v>
      </c>
      <c r="F330" s="10" t="inlineStr">
        <is>
          <t>No</t>
        </is>
      </c>
      <c r="G330" s="10" t="inlineStr">
        <is>
          <t>No</t>
        </is>
      </c>
      <c r="H330" s="10" t="n">
        <v>0</v>
      </c>
      <c r="I330" s="10" t="inlineStr"/>
      <c r="J330" s="10" t="inlineStr"/>
      <c r="K330" s="10" t="inlineStr">
        <is>
          <t>Not reviewed</t>
        </is>
      </c>
      <c r="L330" s="10" t="inlineStr"/>
    </row>
    <row r="331">
      <c r="A331" s="10" t="inlineStr">
        <is>
          <t>9. Limitations and boundary conditions</t>
        </is>
      </c>
      <c r="B331" s="10" t="n">
        <v>158</v>
      </c>
      <c r="C331" s="10" t="n">
        <v>2</v>
      </c>
      <c r="D331" s="10" t="inlineStr">
        <is>
          <t>Surface motion is not internal strain.</t>
        </is>
      </c>
      <c r="E331" s="10" t="n">
        <v>6</v>
      </c>
      <c r="F331" s="10" t="inlineStr">
        <is>
          <t>No</t>
        </is>
      </c>
      <c r="G331" s="10" t="inlineStr">
        <is>
          <t>No</t>
        </is>
      </c>
      <c r="H331" s="10" t="n">
        <v>2</v>
      </c>
      <c r="I331" s="10" t="inlineStr"/>
      <c r="J331" s="10" t="inlineStr"/>
      <c r="K331" s="10" t="inlineStr">
        <is>
          <t>Not reviewed</t>
        </is>
      </c>
      <c r="L331" s="10" t="inlineStr"/>
    </row>
    <row r="332">
      <c r="A332" s="10" t="inlineStr">
        <is>
          <t>9. Limitations and boundary conditions</t>
        </is>
      </c>
      <c r="B332" s="10" t="n">
        <v>158</v>
      </c>
      <c r="C332" s="10" t="n">
        <v>3</v>
      </c>
      <c r="D332" s="10" t="inlineStr">
        <is>
          <t>Soft fruit may lack a sharp resonance.</t>
        </is>
      </c>
      <c r="E332" s="10" t="n">
        <v>7</v>
      </c>
      <c r="F332" s="10" t="inlineStr">
        <is>
          <t>No</t>
        </is>
      </c>
      <c r="G332" s="10" t="inlineStr">
        <is>
          <t>No</t>
        </is>
      </c>
      <c r="H332" s="10" t="n">
        <v>1</v>
      </c>
      <c r="I332" s="10" t="inlineStr"/>
      <c r="J332" s="10" t="inlineStr"/>
      <c r="K332" s="10" t="inlineStr">
        <is>
          <t>Not reviewed</t>
        </is>
      </c>
      <c r="L332" s="10" t="inlineStr"/>
    </row>
    <row r="333">
      <c r="A333" s="10" t="inlineStr">
        <is>
          <t>9. Limitations and boundary conditions</t>
        </is>
      </c>
      <c r="B333" s="10" t="n">
        <v>158</v>
      </c>
      <c r="C333" s="10" t="n">
        <v>4</v>
      </c>
      <c r="D333" s="10" t="inlineStr">
        <is>
          <t>Sentinel-fruit estimation and receiver equivalence are proposed engineering strategies that still require experimental validation.</t>
        </is>
      </c>
      <c r="E333" s="10" t="n">
        <v>14</v>
      </c>
      <c r="F333" s="10" t="inlineStr">
        <is>
          <t>No</t>
        </is>
      </c>
      <c r="G333" s="10" t="inlineStr">
        <is>
          <t>Yes</t>
        </is>
      </c>
      <c r="H333" s="10" t="n">
        <v>4</v>
      </c>
      <c r="I333" s="10" t="inlineStr"/>
      <c r="J333" s="10" t="inlineStr">
        <is>
          <t>Consider active voice; Replace noun-heavy phrasing</t>
        </is>
      </c>
      <c r="K333" s="10" t="inlineStr">
        <is>
          <t>Not reviewed</t>
        </is>
      </c>
      <c r="L333" s="10" t="inlineStr"/>
    </row>
    <row r="334">
      <c r="A334" s="10" t="inlineStr">
        <is>
          <t>9. Limitations and boundary conditions</t>
        </is>
      </c>
      <c r="B334" s="10" t="n">
        <v>159</v>
      </c>
      <c r="C334" s="10" t="n">
        <v>1</v>
      </c>
      <c r="D334" s="10" t="inlineStr">
        <is>
          <t>Comparator fields provide methods, not proof.</t>
        </is>
      </c>
      <c r="E334" s="10" t="n">
        <v>6</v>
      </c>
      <c r="F334" s="10" t="inlineStr">
        <is>
          <t>No</t>
        </is>
      </c>
      <c r="G334" s="10" t="inlineStr">
        <is>
          <t>No</t>
        </is>
      </c>
      <c r="H334" s="10" t="n">
        <v>0</v>
      </c>
      <c r="I334" s="10" t="inlineStr"/>
      <c r="J334" s="10" t="inlineStr"/>
      <c r="K334" s="10" t="inlineStr">
        <is>
          <t>Not reviewed</t>
        </is>
      </c>
      <c r="L334" s="10" t="inlineStr"/>
    </row>
    <row r="335">
      <c r="A335" s="10" t="inlineStr">
        <is>
          <t>9. Limitations and boundary conditions</t>
        </is>
      </c>
      <c r="B335" s="10" t="n">
        <v>159</v>
      </c>
      <c r="C335" s="10" t="n">
        <v>2</v>
      </c>
      <c r="D335" s="10" t="inlineStr">
        <is>
          <t>Successful sensing does not show that actuation is beneficial, and liquid cavitation does not establish an airborne audible mechanism.</t>
        </is>
      </c>
      <c r="E335" s="10" t="n">
        <v>19</v>
      </c>
      <c r="F335" s="10" t="inlineStr">
        <is>
          <t>No</t>
        </is>
      </c>
      <c r="G335" s="10" t="inlineStr">
        <is>
          <t>No</t>
        </is>
      </c>
      <c r="H335" s="10" t="n">
        <v>3</v>
      </c>
      <c r="I335" s="10" t="inlineStr"/>
      <c r="J335" s="10" t="inlineStr">
        <is>
          <t>Replace noun-heavy phrasing</t>
        </is>
      </c>
      <c r="K335" s="10" t="inlineStr">
        <is>
          <t>Not reviewed</t>
        </is>
      </c>
      <c r="L335" s="10" t="inlineStr"/>
    </row>
    <row r="336">
      <c r="A336" s="10" t="inlineStr">
        <is>
          <t>9. Limitations and boundary conditions</t>
        </is>
      </c>
      <c r="B336" s="10" t="n">
        <v>159</v>
      </c>
      <c r="C336" s="10" t="n">
        <v>3</v>
      </c>
      <c r="D336" s="10" t="inlineStr">
        <is>
          <t>The framework should be rejected or revised if measured receiver exposure fails to improve prediction, causal discrimination or cross-platform transfer.</t>
        </is>
      </c>
      <c r="E336" s="10" t="n">
        <v>20</v>
      </c>
      <c r="F336" s="10" t="inlineStr">
        <is>
          <t>No</t>
        </is>
      </c>
      <c r="G336" s="10" t="inlineStr">
        <is>
          <t>Yes</t>
        </is>
      </c>
      <c r="H336" s="10" t="n">
        <v>3</v>
      </c>
      <c r="I336" s="10" t="inlineStr"/>
      <c r="J336" s="10" t="inlineStr">
        <is>
          <t>Consider active voice; Replace noun-heavy phrasing</t>
        </is>
      </c>
      <c r="K336" s="10" t="inlineStr">
        <is>
          <t>Not reviewed</t>
        </is>
      </c>
      <c r="L336" s="10" t="inlineStr"/>
    </row>
    <row r="337">
      <c r="A337" s="10" t="inlineStr">
        <is>
          <t>10. Conclusions</t>
        </is>
      </c>
      <c r="B337" s="10" t="n">
        <v>161</v>
      </c>
      <c r="C337" s="10" t="n">
        <v>1</v>
      </c>
      <c r="D337" s="10" t="inlineStr">
        <is>
          <t>Acoustic processing of intact fruit cannot be organized by frequency alone.</t>
        </is>
      </c>
      <c r="E337" s="10" t="n">
        <v>11</v>
      </c>
      <c r="F337" s="10" t="inlineStr">
        <is>
          <t>No</t>
        </is>
      </c>
      <c r="G337" s="10" t="inlineStr">
        <is>
          <t>Yes</t>
        </is>
      </c>
      <c r="H337" s="10" t="n">
        <v>0</v>
      </c>
      <c r="I337" s="10" t="inlineStr"/>
      <c r="J337" s="10" t="inlineStr">
        <is>
          <t>Consider active voice</t>
        </is>
      </c>
      <c r="K337" s="10" t="inlineStr">
        <is>
          <t>Not reviewed</t>
        </is>
      </c>
      <c r="L337" s="10" t="inlineStr"/>
    </row>
    <row r="338">
      <c r="A338" s="10" t="inlineStr">
        <is>
          <t>10. Conclusions</t>
        </is>
      </c>
      <c r="B338" s="10" t="n">
        <v>161</v>
      </c>
      <c r="C338" s="10" t="n">
        <v>2</v>
      </c>
      <c r="D338" s="10" t="inlineStr">
        <is>
          <t>One source band can support sensing, direct tool motion, structure-borne vibration, airborne boundary-layer forcing or liquid cavitation.</t>
        </is>
      </c>
      <c r="E338" s="10" t="n">
        <v>17</v>
      </c>
      <c r="F338" s="10" t="inlineStr">
        <is>
          <t>No</t>
        </is>
      </c>
      <c r="G338" s="10" t="inlineStr">
        <is>
          <t>No</t>
        </is>
      </c>
      <c r="H338" s="10" t="n">
        <v>3</v>
      </c>
      <c r="I338" s="10" t="inlineStr"/>
      <c r="J338" s="10" t="inlineStr">
        <is>
          <t>Replace noun-heavy phrasing</t>
        </is>
      </c>
      <c r="K338" s="10" t="inlineStr">
        <is>
          <t>Not reviewed</t>
        </is>
      </c>
      <c r="L338" s="10" t="inlineStr"/>
    </row>
    <row r="339">
      <c r="A339" s="10" t="inlineStr">
        <is>
          <t>10. Conclusions</t>
        </is>
      </c>
      <c r="B339" s="10" t="n">
        <v>161</v>
      </c>
      <c r="C339" s="10" t="n">
        <v>3</v>
      </c>
      <c r="D339" s="10" t="inlineStr">
        <is>
          <t>The coupling path, receiver state and proximal exposure—not hertz—define the physical process.</t>
        </is>
      </c>
      <c r="E339" s="10" t="n">
        <v>14</v>
      </c>
      <c r="F339" s="10" t="inlineStr">
        <is>
          <t>No</t>
        </is>
      </c>
      <c r="G339" s="10" t="inlineStr">
        <is>
          <t>No</t>
        </is>
      </c>
      <c r="H339" s="10" t="n">
        <v>2</v>
      </c>
      <c r="I339" s="10" t="inlineStr"/>
      <c r="J339" s="10" t="inlineStr"/>
      <c r="K339" s="10" t="inlineStr">
        <is>
          <t>Not reviewed</t>
        </is>
      </c>
      <c r="L339" s="10" t="inlineStr"/>
    </row>
    <row r="340">
      <c r="A340" s="10" t="inlineStr">
        <is>
          <t>10. Conclusions</t>
        </is>
      </c>
      <c r="B340" s="10" t="n">
        <v>162</v>
      </c>
      <c r="C340" s="10" t="n">
        <v>1</v>
      </c>
      <c r="D340" s="10" t="inlineStr">
        <is>
          <t>The literature supports acoustic sensing and justifies decisive tests of airborne quality modulation, but it does not yet support a universal frequency–decibel–time recipe.</t>
        </is>
      </c>
      <c r="E340" s="10" t="n">
        <v>25</v>
      </c>
      <c r="F340" s="10" t="inlineStr">
        <is>
          <t>No</t>
        </is>
      </c>
      <c r="G340" s="10" t="inlineStr">
        <is>
          <t>No</t>
        </is>
      </c>
      <c r="H340" s="10" t="n">
        <v>2</v>
      </c>
      <c r="I340" s="10" t="inlineStr"/>
      <c r="J340" s="10" t="inlineStr"/>
      <c r="K340" s="10" t="inlineStr">
        <is>
          <t>Not reviewed</t>
        </is>
      </c>
      <c r="L340" s="10" t="inlineStr"/>
    </row>
    <row r="341">
      <c r="A341" s="10" t="inlineStr">
        <is>
          <t>10. Conclusions</t>
        </is>
      </c>
      <c r="B341" s="10" t="n">
        <v>162</v>
      </c>
      <c r="C341" s="10" t="n">
        <v>2</v>
      </c>
      <c r="D341" s="10" t="inlineStr">
        <is>
          <t>Among the seven studies retained here, the principal missing measurements are fruit motion, support separation and external exposure–quality validation.</t>
        </is>
      </c>
      <c r="E341" s="10" t="n">
        <v>20</v>
      </c>
      <c r="F341" s="10" t="inlineStr">
        <is>
          <t>No</t>
        </is>
      </c>
      <c r="G341" s="10" t="inlineStr">
        <is>
          <t>No</t>
        </is>
      </c>
      <c r="H341" s="10" t="n">
        <v>5</v>
      </c>
      <c r="I341" s="10" t="inlineStr"/>
      <c r="J341" s="10" t="inlineStr">
        <is>
          <t>Replace noun-heavy phrasing</t>
        </is>
      </c>
      <c r="K341" s="10" t="inlineStr">
        <is>
          <t>Not reviewed</t>
        </is>
      </c>
      <c r="L341" s="10" t="inlineStr"/>
    </row>
    <row r="342">
      <c r="A342" s="10" t="inlineStr">
        <is>
          <t>10. Conclusions</t>
        </is>
      </c>
      <c r="B342" s="10" t="n">
        <v>162</v>
      </c>
      <c r="C342" s="10" t="n">
        <v>3</v>
      </c>
      <c r="D342" s="10" t="inlineStr">
        <is>
          <t>Repeated molecular and quality associations remain scientifically useful; they are not independent demonstrations of a resonance or tissue-strain mechanism.</t>
        </is>
      </c>
      <c r="E342" s="10" t="n">
        <v>19</v>
      </c>
      <c r="F342" s="10" t="inlineStr">
        <is>
          <t>No</t>
        </is>
      </c>
      <c r="G342" s="10" t="inlineStr">
        <is>
          <t>No</t>
        </is>
      </c>
      <c r="H342" s="10" t="n">
        <v>1</v>
      </c>
      <c r="I342" s="10" t="inlineStr"/>
      <c r="J342" s="10" t="inlineStr"/>
      <c r="K342" s="10" t="inlineStr">
        <is>
          <t>Not reviewed</t>
        </is>
      </c>
      <c r="L342" s="10" t="inlineStr"/>
    </row>
    <row r="343">
      <c r="A343" s="10" t="inlineStr">
        <is>
          <t>10. Conclusions</t>
        </is>
      </c>
      <c r="B343" s="10" t="n">
        <v>163</v>
      </c>
      <c r="C343" s="10" t="n">
        <v>1</v>
      </c>
      <c r="D343" s="10" t="inlineStr">
        <is>
          <t>Receiver-centred process design converts this limitation into a falsifiable programme.</t>
        </is>
      </c>
      <c r="E343" s="10" t="n">
        <v>10</v>
      </c>
      <c r="F343" s="10" t="inlineStr">
        <is>
          <t>No</t>
        </is>
      </c>
      <c r="G343" s="10" t="inlineStr">
        <is>
          <t>No</t>
        </is>
      </c>
      <c r="H343" s="10" t="n">
        <v>1</v>
      </c>
      <c r="I343" s="10" t="inlineStr"/>
      <c r="J343" s="10" t="inlineStr"/>
      <c r="K343" s="10" t="inlineStr">
        <is>
          <t>Not reviewed</t>
        </is>
      </c>
      <c r="L343" s="10" t="inlineStr"/>
    </row>
    <row r="344">
      <c r="A344" s="10" t="inlineStr">
        <is>
          <t>10. Conclusions</t>
        </is>
      </c>
      <c r="B344" s="10" t="n">
        <v>163</v>
      </c>
      <c r="C344" s="10" t="n">
        <v>2</v>
      </c>
      <c r="D344" s="10" t="inlineStr">
        <is>
          <t>The Exposure Passport reconstructs the treatment, the Operating Window bounds benefit against harm and industrial constraints, and matched-exposure experiments test transfer across frequencies, loads and equipment.</t>
        </is>
      </c>
      <c r="E344" s="10" t="n">
        <v>26</v>
      </c>
      <c r="F344" s="10" t="inlineStr">
        <is>
          <t>Yes</t>
        </is>
      </c>
      <c r="G344" s="10" t="inlineStr">
        <is>
          <t>No</t>
        </is>
      </c>
      <c r="H344" s="10" t="n">
        <v>3</v>
      </c>
      <c r="I344" s="10" t="inlineStr"/>
      <c r="J344" s="10" t="inlineStr">
        <is>
          <t>Split or simplify; Replace noun-heavy phrasing</t>
        </is>
      </c>
      <c r="K344" s="10" t="inlineStr">
        <is>
          <t>Not reviewed</t>
        </is>
      </c>
      <c r="L344" s="10" t="inlineStr"/>
    </row>
    <row r="345">
      <c r="A345" s="10" t="inlineStr">
        <is>
          <t>10. Conclusions</t>
        </is>
      </c>
      <c r="B345" s="10" t="n">
        <v>163</v>
      </c>
      <c r="C345" s="10" t="n">
        <v>3</v>
      </c>
      <c r="D345" s="10" t="inlineStr">
        <is>
          <t>Equivalent shelf response would support receiver equivalence; failure would expose a missing variable or rival route.</t>
        </is>
      </c>
      <c r="E345" s="10" t="n">
        <v>16</v>
      </c>
      <c r="F345" s="10" t="inlineStr">
        <is>
          <t>No</t>
        </is>
      </c>
      <c r="G345" s="10" t="inlineStr">
        <is>
          <t>No</t>
        </is>
      </c>
      <c r="H345" s="10" t="n">
        <v>2</v>
      </c>
      <c r="I345" s="10" t="inlineStr"/>
      <c r="J345" s="10" t="inlineStr"/>
      <c r="K345" s="10" t="inlineStr">
        <is>
          <t>Not reviewed</t>
        </is>
      </c>
      <c r="L345" s="10" t="inlineStr"/>
    </row>
    <row r="346">
      <c r="A346" s="10" t="inlineStr">
        <is>
          <t>10. Conclusions</t>
        </is>
      </c>
      <c r="B346" s="10" t="n">
        <v>164</v>
      </c>
      <c r="C346" s="10" t="n">
        <v>1</v>
      </c>
      <c r="D346" s="10" t="inlineStr">
        <is>
          <t>The next breakthrough will not come from naming another favourable frequency.</t>
        </is>
      </c>
      <c r="E346" s="10" t="n">
        <v>11</v>
      </c>
      <c r="F346" s="10" t="inlineStr">
        <is>
          <t>No</t>
        </is>
      </c>
      <c r="G346" s="10" t="inlineStr">
        <is>
          <t>No</t>
        </is>
      </c>
      <c r="H346" s="10" t="n">
        <v>0</v>
      </c>
      <c r="I346" s="10" t="inlineStr"/>
      <c r="J346" s="10" t="inlineStr"/>
      <c r="K346" s="10" t="inlineStr">
        <is>
          <t>Not reviewed</t>
        </is>
      </c>
      <c r="L346" s="10" t="inlineStr"/>
    </row>
    <row r="347">
      <c r="A347" s="10" t="inlineStr">
        <is>
          <t>10. Conclusions</t>
        </is>
      </c>
      <c r="B347" s="10" t="n">
        <v>164</v>
      </c>
      <c r="C347" s="10" t="n">
        <v>2</v>
      </c>
      <c r="D347" s="10" t="inlineStr">
        <is>
          <t>It will come from closing one short chain in the same identified fruit: loaded field, support route, receiver motion, validated tissue exposure, longitudinal quality and shelf performance.</t>
        </is>
      </c>
      <c r="E347" s="10" t="n">
        <v>27</v>
      </c>
      <c r="F347" s="10" t="inlineStr">
        <is>
          <t>Yes</t>
        </is>
      </c>
      <c r="G347" s="10" t="inlineStr">
        <is>
          <t>No</t>
        </is>
      </c>
      <c r="H347" s="10" t="n">
        <v>3</v>
      </c>
      <c r="I347" s="10" t="inlineStr"/>
      <c r="J347" s="10" t="inlineStr">
        <is>
          <t>Split or simplify; Replace noun-heavy phrasing</t>
        </is>
      </c>
      <c r="K347" s="10" t="inlineStr">
        <is>
          <t>Not reviewed</t>
        </is>
      </c>
      <c r="L347" s="10" t="inlineStr"/>
    </row>
    <row r="348">
      <c r="A348" s="10" t="inlineStr">
        <is>
          <t>10. Conclusions</t>
        </is>
      </c>
      <c r="B348" s="10" t="n">
        <v>164</v>
      </c>
      <c r="C348" s="10" t="n">
        <v>3</v>
      </c>
      <c r="D348" s="10" t="inlineStr">
        <is>
          <t>Until that chain transfers across batches and equipment, hertz remains a source setting.</t>
        </is>
      </c>
      <c r="E348" s="10" t="n">
        <v>13</v>
      </c>
      <c r="F348" s="10" t="inlineStr">
        <is>
          <t>No</t>
        </is>
      </c>
      <c r="G348" s="10" t="inlineStr">
        <is>
          <t>No</t>
        </is>
      </c>
      <c r="H348" s="10" t="n">
        <v>1</v>
      </c>
      <c r="I348" s="10" t="inlineStr"/>
      <c r="J348" s="10" t="inlineStr"/>
      <c r="K348" s="10" t="inlineStr">
        <is>
          <t>Not reviewed</t>
        </is>
      </c>
      <c r="L348" s="10" t="inlineStr"/>
    </row>
    <row r="349">
      <c r="A349" s="10" t="inlineStr">
        <is>
          <t>10. Conclusions</t>
        </is>
      </c>
      <c r="B349" s="10" t="n">
        <v>164</v>
      </c>
      <c r="C349" s="10" t="n">
        <v>4</v>
      </c>
      <c r="D349" s="10" t="inlineStr">
        <is>
          <t>Once it transfers, acoustic treatment can become an engineering process rather than an empirical recipe.</t>
        </is>
      </c>
      <c r="E349" s="10" t="n">
        <v>15</v>
      </c>
      <c r="F349" s="10" t="inlineStr">
        <is>
          <t>No</t>
        </is>
      </c>
      <c r="G349" s="10" t="inlineStr">
        <is>
          <t>No</t>
        </is>
      </c>
      <c r="H349" s="10" t="n">
        <v>2</v>
      </c>
      <c r="I349" s="10" t="inlineStr"/>
      <c r="J349" s="10" t="inlineStr"/>
      <c r="K349" s="10" t="inlineStr">
        <is>
          <t>Not reviewed</t>
        </is>
      </c>
      <c r="L349" s="10" t="inlineStr"/>
    </row>
    <row r="350">
      <c r="A350" s="10" t="inlineStr">
        <is>
          <t>Author contributions</t>
        </is>
      </c>
      <c r="B350" s="10" t="n">
        <v>167</v>
      </c>
      <c r="C350" s="10" t="n">
        <v>1</v>
      </c>
      <c r="D350" s="10" t="inlineStr">
        <is>
          <t>Contributor roles and author order are to be completed before submission.</t>
        </is>
      </c>
      <c r="E350" s="10" t="n">
        <v>11</v>
      </c>
      <c r="F350" s="10" t="inlineStr">
        <is>
          <t>No</t>
        </is>
      </c>
      <c r="G350" s="10" t="inlineStr">
        <is>
          <t>Yes</t>
        </is>
      </c>
      <c r="H350" s="10" t="n">
        <v>1</v>
      </c>
      <c r="I350" s="10" t="inlineStr"/>
      <c r="J350" s="10" t="inlineStr">
        <is>
          <t>Consider active voice</t>
        </is>
      </c>
      <c r="K350" s="10" t="inlineStr">
        <is>
          <t>Not reviewed</t>
        </is>
      </c>
      <c r="L350" s="10" t="inlineStr"/>
    </row>
    <row r="351">
      <c r="A351" s="10" t="inlineStr">
        <is>
          <t>Funding</t>
        </is>
      </c>
      <c r="B351" s="10" t="n">
        <v>169</v>
      </c>
      <c r="C351" s="10" t="n">
        <v>1</v>
      </c>
      <c r="D351" s="10" t="inlineStr">
        <is>
          <t>Funding information is to be completed before submission.</t>
        </is>
      </c>
      <c r="E351" s="10" t="n">
        <v>8</v>
      </c>
      <c r="F351" s="10" t="inlineStr">
        <is>
          <t>No</t>
        </is>
      </c>
      <c r="G351" s="10" t="inlineStr">
        <is>
          <t>Yes</t>
        </is>
      </c>
      <c r="H351" s="10" t="n">
        <v>2</v>
      </c>
      <c r="I351" s="10" t="inlineStr"/>
      <c r="J351" s="10" t="inlineStr">
        <is>
          <t>Consider active voice</t>
        </is>
      </c>
      <c r="K351" s="10" t="inlineStr">
        <is>
          <t>Not reviewed</t>
        </is>
      </c>
      <c r="L351" s="10" t="inlineStr"/>
    </row>
    <row r="352">
      <c r="A352" s="10" t="inlineStr">
        <is>
          <t>Declaration of competing interest</t>
        </is>
      </c>
      <c r="B352" s="10" t="n">
        <v>171</v>
      </c>
      <c r="C352" s="10" t="n">
        <v>1</v>
      </c>
      <c r="D352" s="10" t="inlineStr">
        <is>
          <t>The authors should insert the journal-required competing-interest statement before submission.</t>
        </is>
      </c>
      <c r="E352" s="10" t="n">
        <v>10</v>
      </c>
      <c r="F352" s="10" t="inlineStr">
        <is>
          <t>No</t>
        </is>
      </c>
      <c r="G352" s="10" t="inlineStr">
        <is>
          <t>No</t>
        </is>
      </c>
      <c r="H352" s="10" t="n">
        <v>3</v>
      </c>
      <c r="I352" s="10" t="inlineStr"/>
      <c r="J352" s="10" t="inlineStr">
        <is>
          <t>Replace noun-heavy phrasing</t>
        </is>
      </c>
      <c r="K352" s="10" t="inlineStr">
        <is>
          <t>Not reviewed</t>
        </is>
      </c>
      <c r="L352" s="10" t="inlineStr"/>
    </row>
    <row r="353">
      <c r="A353" s="10" t="inlineStr">
        <is>
          <t>Data availability</t>
        </is>
      </c>
      <c r="B353" s="10" t="n">
        <v>173</v>
      </c>
      <c r="C353" s="10" t="n">
        <v>1</v>
      </c>
      <c r="D353" s="10" t="inlineStr">
        <is>
          <t>No new experimental dataset was generated for this critical review.</t>
        </is>
      </c>
      <c r="E353" s="10" t="n">
        <v>10</v>
      </c>
      <c r="F353" s="10" t="inlineStr">
        <is>
          <t>No</t>
        </is>
      </c>
      <c r="G353" s="10" t="inlineStr">
        <is>
          <t>Yes</t>
        </is>
      </c>
      <c r="H353" s="10" t="n">
        <v>2</v>
      </c>
      <c r="I353" s="10" t="inlineStr"/>
      <c r="J353" s="10" t="inlineStr">
        <is>
          <t>Consider active voice</t>
        </is>
      </c>
      <c r="K353" s="10" t="inlineStr">
        <is>
          <t>Not reviewed</t>
        </is>
      </c>
      <c r="L353" s="10" t="inlineStr"/>
    </row>
    <row r="354">
      <c r="A354" s="10" t="inlineStr">
        <is>
          <t>Data availability</t>
        </is>
      </c>
      <c r="B354" s="10" t="n">
        <v>173</v>
      </c>
      <c r="C354" s="10" t="n">
        <v>2</v>
      </c>
      <c r="D354" s="10" t="inlineStr">
        <is>
          <t>Search records, evidence grades, extraction sheets and editable figure source files should be archived with the submission where permitted.</t>
        </is>
      </c>
      <c r="E354" s="10" t="n">
        <v>19</v>
      </c>
      <c r="F354" s="10" t="inlineStr">
        <is>
          <t>No</t>
        </is>
      </c>
      <c r="G354" s="10" t="inlineStr">
        <is>
          <t>Yes</t>
        </is>
      </c>
      <c r="H354" s="10" t="n">
        <v>3</v>
      </c>
      <c r="I354" s="10" t="inlineStr"/>
      <c r="J354" s="10" t="inlineStr">
        <is>
          <t>Consider active voice; Replace noun-heavy phrasing</t>
        </is>
      </c>
      <c r="K354" s="10" t="inlineStr">
        <is>
          <t>Not reviewed</t>
        </is>
      </c>
      <c r="L354" s="10" t="inlineStr"/>
    </row>
    <row r="355">
      <c r="A355" s="10" t="inlineStr">
        <is>
          <t>Generative AI declaration</t>
        </is>
      </c>
      <c r="B355" s="10" t="n">
        <v>175</v>
      </c>
      <c r="C355" s="10" t="n">
        <v>1</v>
      </c>
      <c r="D355" s="10" t="inlineStr">
        <is>
          <t>The authors should complete the journal-required declaration describing any generative-AI assistance used for language editing or figure preparation.</t>
        </is>
      </c>
      <c r="E355" s="10" t="n">
        <v>18</v>
      </c>
      <c r="F355" s="10" t="inlineStr">
        <is>
          <t>No</t>
        </is>
      </c>
      <c r="G355" s="10" t="inlineStr">
        <is>
          <t>No</t>
        </is>
      </c>
      <c r="H355" s="10" t="n">
        <v>4</v>
      </c>
      <c r="I355" s="10" t="inlineStr"/>
      <c r="J355" s="10" t="inlineStr">
        <is>
          <t>Replace noun-heavy phrasing</t>
        </is>
      </c>
      <c r="K355" s="10" t="inlineStr">
        <is>
          <t>Not reviewed</t>
        </is>
      </c>
      <c r="L355" s="10" t="inlineStr"/>
    </row>
    <row r="356">
      <c r="A356" s="10" t="inlineStr">
        <is>
          <t>Generative AI declaration</t>
        </is>
      </c>
      <c r="B356" s="10" t="n">
        <v>175</v>
      </c>
      <c r="C356" s="10" t="n">
        <v>2</v>
      </c>
      <c r="D356" s="10" t="inlineStr">
        <is>
          <t>Authors remain responsible for the accuracy, originality and integrity of the manuscript.</t>
        </is>
      </c>
      <c r="E356" s="10" t="n">
        <v>12</v>
      </c>
      <c r="F356" s="10" t="inlineStr">
        <is>
          <t>No</t>
        </is>
      </c>
      <c r="G356" s="10" t="inlineStr">
        <is>
          <t>No</t>
        </is>
      </c>
      <c r="H356" s="10" t="n">
        <v>2</v>
      </c>
      <c r="I356" s="10" t="inlineStr"/>
      <c r="J356" s="10" t="inlineStr"/>
      <c r="K356" s="10" t="inlineStr">
        <is>
          <t>Not reviewed</t>
        </is>
      </c>
      <c r="L356" s="10" t="inlineStr"/>
    </row>
    <row r="357">
      <c r="A357" s="10" t="inlineStr">
        <is>
          <t>Acknowledgements</t>
        </is>
      </c>
      <c r="B357" s="10" t="n">
        <v>177</v>
      </c>
      <c r="C357" s="10" t="n">
        <v>1</v>
      </c>
      <c r="D357" s="10" t="inlineStr">
        <is>
          <t>Acknowledgements are to be completed before submission.</t>
        </is>
      </c>
      <c r="E357" s="10" t="n">
        <v>7</v>
      </c>
      <c r="F357" s="10" t="inlineStr">
        <is>
          <t>No</t>
        </is>
      </c>
      <c r="G357" s="10" t="inlineStr">
        <is>
          <t>Yes</t>
        </is>
      </c>
      <c r="H357" s="10" t="n">
        <v>1</v>
      </c>
      <c r="I357" s="10" t="inlineStr"/>
      <c r="J357" s="10" t="inlineStr">
        <is>
          <t>Consider active voice</t>
        </is>
      </c>
      <c r="K357" s="10" t="inlineStr">
        <is>
          <t>Not reviewed</t>
        </is>
      </c>
      <c r="L357" s="10" t="inlineStr"/>
    </row>
  </sheetData>
  <mergeCells count="2">
    <mergeCell ref="A2:L2"/>
    <mergeCell ref="A1:L1"/>
  </mergeCells>
  <conditionalFormatting sqref="K4:K357">
    <cfRule type="expression" priority="1" dxfId="0">
      <formula>$K4="Complete"</formula>
    </cfRule>
    <cfRule type="expression" priority="2" dxfId="1">
      <formula>$K4="In progress"</formula>
    </cfRule>
    <cfRule type="expression" priority="3" dxfId="2">
      <formula>$K4="Needs verification"</formula>
    </cfRule>
    <cfRule type="expression" priority="4" dxfId="3">
      <formula>$K4="Needs revision"</formula>
    </cfRule>
    <cfRule type="expression" priority="5" dxfId="4">
      <formula>$K4="Not started"</formula>
    </cfRule>
    <cfRule type="expression" priority="6" dxfId="5">
      <formula>$K4="Not applicable"</formula>
    </cfRule>
  </conditionalFormatting>
  <conditionalFormatting sqref="E4:E357">
    <cfRule type="cellIs" priority="7" operator="greaterThan" dxfId="3">
      <formula>25</formula>
    </cfRule>
  </conditionalFormatting>
  <conditionalFormatting sqref="F4:G357">
    <cfRule type="expression" priority="8" dxfId="2">
      <formula>F4="Yes"</formula>
    </cfRule>
  </conditionalFormatting>
  <dataValidations count="1">
    <dataValidation sqref="K4:K357" showDropDown="0" showInputMessage="0" showErrorMessage="0" allowBlank="1" type="list">
      <formula1>=Lists!$A$2:$A$7</formula1>
    </dataValidation>
  </dataValidations>
  <pageMargins left="0.25" right="0.25" top="0.4" bottom="0.4" header="0.5" footer="0.5"/>
  <pageSetup orientation="landscape" fitToHeight="0" fitToWidth="1"/>
  <tableParts count="1">
    <tablePart xmlns:r="http://schemas.openxmlformats.org/officeDocument/2006/relationships" r:id="rId1"/>
  </tableParts>
</worksheet>
</file>

<file path=xl/worksheets/sheet16.xml><?xml version="1.0" encoding="utf-8"?>
<worksheet xmlns="http://schemas.openxmlformats.org/spreadsheetml/2006/main">
  <sheetPr>
    <tabColor rgb="007030A0"/>
    <outlinePr summaryBelow="1" summaryRight="1"/>
    <pageSetUpPr fitToPage="1"/>
  </sheetPr>
  <dimension ref="A1:M41"/>
  <sheetViews>
    <sheetView showGridLines="0" zoomScale="80" workbookViewId="0">
      <pane ySplit="3" topLeftCell="A4" activePane="bottomLeft" state="frozen"/>
      <selection pane="bottomLeft" activeCell="A1" sqref="A1"/>
    </sheetView>
  </sheetViews>
  <sheetFormatPr baseColWidth="8" defaultRowHeight="15"/>
  <cols>
    <col width="48" customWidth="1" min="1" max="1"/>
    <col width="14" customWidth="1" min="2" max="2"/>
    <col width="13" customWidth="1" min="3" max="3"/>
    <col width="18" customWidth="1" min="4" max="4"/>
    <col width="18" customWidth="1" min="5" max="5"/>
    <col width="16" customWidth="1" min="6" max="6"/>
    <col width="20" customWidth="1" min="7" max="7"/>
    <col width="14" customWidth="1" min="8" max="8"/>
    <col width="17" customWidth="1" min="9" max="9"/>
    <col width="13" customWidth="1" min="10" max="10"/>
    <col width="16" customWidth="1" min="11" max="11"/>
    <col width="52" customWidth="1" min="12" max="12"/>
    <col width="18" customWidth="1" min="13" max="13"/>
  </cols>
  <sheetData>
    <row r="1" ht="30" customHeight="1">
      <c r="A1" s="1" t="inlineStr">
        <is>
          <t>Section-Level Writing Quality Summary</t>
        </is>
      </c>
    </row>
    <row r="2" ht="28" customHeight="1">
      <c r="A2" s="2" t="inlineStr">
        <is>
          <t>Metrics are formula-linked to the sentence-level audit. They are diagnostic signals, not substitutes for editorial judgement.</t>
        </is>
      </c>
    </row>
    <row r="3">
      <c r="A3" s="9" t="inlineStr">
        <is>
          <t>Section</t>
        </is>
      </c>
      <c r="B3" s="9" t="inlineStr">
        <is>
          <t>Sentence count</t>
        </is>
      </c>
      <c r="C3" s="9" t="inlineStr">
        <is>
          <t>Word count</t>
        </is>
      </c>
      <c r="D3" s="9" t="inlineStr">
        <is>
          <t>Average words / sentence</t>
        </is>
      </c>
      <c r="E3" s="9" t="inlineStr">
        <is>
          <t>Long sentences (&gt;25)</t>
        </is>
      </c>
      <c r="F3" s="9" t="inlineStr">
        <is>
          <t>Long sentence %</t>
        </is>
      </c>
      <c r="G3" s="9" t="inlineStr">
        <is>
          <t>Passive heuristic count</t>
        </is>
      </c>
      <c r="H3" s="9" t="inlineStr">
        <is>
          <t>Passive %</t>
        </is>
      </c>
      <c r="I3" s="9" t="inlineStr">
        <is>
          <t>Nominalizations</t>
        </is>
      </c>
      <c r="J3" s="9" t="inlineStr">
        <is>
          <t>Clutter hits</t>
        </is>
      </c>
      <c r="K3" s="9" t="inlineStr">
        <is>
          <t>Readability risk</t>
        </is>
      </c>
      <c r="L3" s="9" t="inlineStr">
        <is>
          <t>Primary editing action</t>
        </is>
      </c>
      <c r="M3" s="9" t="inlineStr">
        <is>
          <t>Status</t>
        </is>
      </c>
    </row>
    <row r="4">
      <c r="A4" s="10" t="inlineStr">
        <is>
          <t>Subtitle</t>
        </is>
      </c>
      <c r="B4" s="10">
        <f>COUNTIF('15_Writing_Sentences'!$A$4:$A$357,A4)</f>
        <v/>
      </c>
      <c r="C4" s="10">
        <f>SUMIF('15_Writing_Sentences'!$A$4:$A$357,A4,'15_Writing_Sentences'!$E$4:$E$357)</f>
        <v/>
      </c>
      <c r="D4" s="25">
        <f>IFERROR(C4/B4,0)</f>
        <v/>
      </c>
      <c r="E4" s="10">
        <f>COUNTIFS('15_Writing_Sentences'!$A$4:$A$357,A4,'15_Writing_Sentences'!$F$4:$F$357,"Yes")</f>
        <v/>
      </c>
      <c r="F4" s="11">
        <f>IFERROR(E4/B4,0)</f>
        <v/>
      </c>
      <c r="G4" s="10">
        <f>COUNTIFS('15_Writing_Sentences'!$A$4:$A$357,A4,'15_Writing_Sentences'!$G$4:$G$357,"Yes")</f>
        <v/>
      </c>
      <c r="H4" s="11">
        <f>IFERROR(G4/B4,0)</f>
        <v/>
      </c>
      <c r="I4" s="10">
        <f>SUMIF('15_Writing_Sentences'!$A$4:$A$357,A4,'15_Writing_Sentences'!$H$4:$H$357)</f>
        <v/>
      </c>
      <c r="J4" s="10">
        <f>COUNTIFS('15_Writing_Sentences'!$A$4:$A$357,A4,'15_Writing_Sentences'!$I$4:$I$357,"&lt;&gt;")</f>
        <v/>
      </c>
      <c r="K4" s="10">
        <f>IF(OR(D4&gt;24,F4&gt;0.3,H4&gt;0.25),"High",IF(OR(D4&gt;20,F4&gt;0.2,H4&gt;0.18),"Medium","Low"))</f>
        <v/>
      </c>
      <c r="L4" s="10">
        <f>IF(K4="High","Prioritize sentence splitting, active voice and clutter removal",IF(K4="Medium","Target long / passive sentences","Light polish"))</f>
        <v/>
      </c>
      <c r="M4" s="10" t="inlineStr">
        <is>
          <t>Not reviewed</t>
        </is>
      </c>
    </row>
    <row r="5">
      <c r="A5" s="10" t="inlineStr">
        <is>
          <t>Highlights</t>
        </is>
      </c>
      <c r="B5" s="10">
        <f>COUNTIF('15_Writing_Sentences'!$A$4:$A$357,A5)</f>
        <v/>
      </c>
      <c r="C5" s="10">
        <f>SUMIF('15_Writing_Sentences'!$A$4:$A$357,A5,'15_Writing_Sentences'!$E$4:$E$357)</f>
        <v/>
      </c>
      <c r="D5" s="25">
        <f>IFERROR(C5/B5,0)</f>
        <v/>
      </c>
      <c r="E5" s="10">
        <f>COUNTIFS('15_Writing_Sentences'!$A$4:$A$357,A5,'15_Writing_Sentences'!$F$4:$F$357,"Yes")</f>
        <v/>
      </c>
      <c r="F5" s="11">
        <f>IFERROR(E5/B5,0)</f>
        <v/>
      </c>
      <c r="G5" s="10">
        <f>COUNTIFS('15_Writing_Sentences'!$A$4:$A$357,A5,'15_Writing_Sentences'!$G$4:$G$357,"Yes")</f>
        <v/>
      </c>
      <c r="H5" s="11">
        <f>IFERROR(G5/B5,0)</f>
        <v/>
      </c>
      <c r="I5" s="10">
        <f>SUMIF('15_Writing_Sentences'!$A$4:$A$357,A5,'15_Writing_Sentences'!$H$4:$H$357)</f>
        <v/>
      </c>
      <c r="J5" s="10">
        <f>COUNTIFS('15_Writing_Sentences'!$A$4:$A$357,A5,'15_Writing_Sentences'!$I$4:$I$357,"&lt;&gt;")</f>
        <v/>
      </c>
      <c r="K5" s="10">
        <f>IF(OR(D5&gt;24,F5&gt;0.3,H5&gt;0.25),"High",IF(OR(D5&gt;20,F5&gt;0.2,H5&gt;0.18),"Medium","Low"))</f>
        <v/>
      </c>
      <c r="L5" s="10">
        <f>IF(K5="High","Prioritize sentence splitting, active voice and clutter removal",IF(K5="Medium","Target long / passive sentences","Light polish"))</f>
        <v/>
      </c>
      <c r="M5" s="10" t="inlineStr">
        <is>
          <t>Not reviewed</t>
        </is>
      </c>
    </row>
    <row r="6">
      <c r="A6" s="10" t="inlineStr">
        <is>
          <t>Abstract</t>
        </is>
      </c>
      <c r="B6" s="10">
        <f>COUNTIF('15_Writing_Sentences'!$A$4:$A$357,A6)</f>
        <v/>
      </c>
      <c r="C6" s="10">
        <f>SUMIF('15_Writing_Sentences'!$A$4:$A$357,A6,'15_Writing_Sentences'!$E$4:$E$357)</f>
        <v/>
      </c>
      <c r="D6" s="25">
        <f>IFERROR(C6/B6,0)</f>
        <v/>
      </c>
      <c r="E6" s="10">
        <f>COUNTIFS('15_Writing_Sentences'!$A$4:$A$357,A6,'15_Writing_Sentences'!$F$4:$F$357,"Yes")</f>
        <v/>
      </c>
      <c r="F6" s="11">
        <f>IFERROR(E6/B6,0)</f>
        <v/>
      </c>
      <c r="G6" s="10">
        <f>COUNTIFS('15_Writing_Sentences'!$A$4:$A$357,A6,'15_Writing_Sentences'!$G$4:$G$357,"Yes")</f>
        <v/>
      </c>
      <c r="H6" s="11">
        <f>IFERROR(G6/B6,0)</f>
        <v/>
      </c>
      <c r="I6" s="10">
        <f>SUMIF('15_Writing_Sentences'!$A$4:$A$357,A6,'15_Writing_Sentences'!$H$4:$H$357)</f>
        <v/>
      </c>
      <c r="J6" s="10">
        <f>COUNTIFS('15_Writing_Sentences'!$A$4:$A$357,A6,'15_Writing_Sentences'!$I$4:$I$357,"&lt;&gt;")</f>
        <v/>
      </c>
      <c r="K6" s="10">
        <f>IF(OR(D6&gt;24,F6&gt;0.3,H6&gt;0.25),"High",IF(OR(D6&gt;20,F6&gt;0.2,H6&gt;0.18),"Medium","Low"))</f>
        <v/>
      </c>
      <c r="L6" s="10">
        <f>IF(K6="High","Prioritize sentence splitting, active voice and clutter removal",IF(K6="Medium","Target long / passive sentences","Light polish"))</f>
        <v/>
      </c>
      <c r="M6" s="10" t="inlineStr">
        <is>
          <t>Not reviewed</t>
        </is>
      </c>
    </row>
    <row r="7">
      <c r="A7" s="10" t="inlineStr">
        <is>
          <t>1. Introduction: the missing link from sound to shelf</t>
        </is>
      </c>
      <c r="B7" s="10">
        <f>COUNTIF('15_Writing_Sentences'!$A$4:$A$357,A7)</f>
        <v/>
      </c>
      <c r="C7" s="10">
        <f>SUMIF('15_Writing_Sentences'!$A$4:$A$357,A7,'15_Writing_Sentences'!$E$4:$E$357)</f>
        <v/>
      </c>
      <c r="D7" s="25">
        <f>IFERROR(C7/B7,0)</f>
        <v/>
      </c>
      <c r="E7" s="10">
        <f>COUNTIFS('15_Writing_Sentences'!$A$4:$A$357,A7,'15_Writing_Sentences'!$F$4:$F$357,"Yes")</f>
        <v/>
      </c>
      <c r="F7" s="11">
        <f>IFERROR(E7/B7,0)</f>
        <v/>
      </c>
      <c r="G7" s="10">
        <f>COUNTIFS('15_Writing_Sentences'!$A$4:$A$357,A7,'15_Writing_Sentences'!$G$4:$G$357,"Yes")</f>
        <v/>
      </c>
      <c r="H7" s="11">
        <f>IFERROR(G7/B7,0)</f>
        <v/>
      </c>
      <c r="I7" s="10">
        <f>SUMIF('15_Writing_Sentences'!$A$4:$A$357,A7,'15_Writing_Sentences'!$H$4:$H$357)</f>
        <v/>
      </c>
      <c r="J7" s="10">
        <f>COUNTIFS('15_Writing_Sentences'!$A$4:$A$357,A7,'15_Writing_Sentences'!$I$4:$I$357,"&lt;&gt;")</f>
        <v/>
      </c>
      <c r="K7" s="10">
        <f>IF(OR(D7&gt;24,F7&gt;0.3,H7&gt;0.25),"High",IF(OR(D7&gt;20,F7&gt;0.2,H7&gt;0.18),"Medium","Low"))</f>
        <v/>
      </c>
      <c r="L7" s="10">
        <f>IF(K7="High","Prioritize sentence splitting, active voice and clutter removal",IF(K7="Medium","Target long / passive sentences","Light polish"))</f>
        <v/>
      </c>
      <c r="M7" s="10" t="inlineStr">
        <is>
          <t>Not reviewed</t>
        </is>
      </c>
    </row>
    <row r="8">
      <c r="A8" s="10" t="inlineStr">
        <is>
          <t>2. Review scope and critical evidence method</t>
        </is>
      </c>
      <c r="B8" s="10">
        <f>COUNTIF('15_Writing_Sentences'!$A$4:$A$357,A8)</f>
        <v/>
      </c>
      <c r="C8" s="10">
        <f>SUMIF('15_Writing_Sentences'!$A$4:$A$357,A8,'15_Writing_Sentences'!$E$4:$E$357)</f>
        <v/>
      </c>
      <c r="D8" s="25">
        <f>IFERROR(C8/B8,0)</f>
        <v/>
      </c>
      <c r="E8" s="10">
        <f>COUNTIFS('15_Writing_Sentences'!$A$4:$A$357,A8,'15_Writing_Sentences'!$F$4:$F$357,"Yes")</f>
        <v/>
      </c>
      <c r="F8" s="11">
        <f>IFERROR(E8/B8,0)</f>
        <v/>
      </c>
      <c r="G8" s="10">
        <f>COUNTIFS('15_Writing_Sentences'!$A$4:$A$357,A8,'15_Writing_Sentences'!$G$4:$G$357,"Yes")</f>
        <v/>
      </c>
      <c r="H8" s="11">
        <f>IFERROR(G8/B8,0)</f>
        <v/>
      </c>
      <c r="I8" s="10">
        <f>SUMIF('15_Writing_Sentences'!$A$4:$A$357,A8,'15_Writing_Sentences'!$H$4:$H$357)</f>
        <v/>
      </c>
      <c r="J8" s="10">
        <f>COUNTIFS('15_Writing_Sentences'!$A$4:$A$357,A8,'15_Writing_Sentences'!$I$4:$I$357,"&lt;&gt;")</f>
        <v/>
      </c>
      <c r="K8" s="10">
        <f>IF(OR(D8&gt;24,F8&gt;0.3,H8&gt;0.25),"High",IF(OR(D8&gt;20,F8&gt;0.2,H8&gt;0.18),"Medium","Low"))</f>
        <v/>
      </c>
      <c r="L8" s="10">
        <f>IF(K8="High","Prioritize sentence splitting, active voice and clutter removal",IF(K8="Medium","Target long / passive sentences","Light polish"))</f>
        <v/>
      </c>
      <c r="M8" s="10" t="inlineStr">
        <is>
          <t>Not reviewed</t>
        </is>
      </c>
    </row>
    <row r="9">
      <c r="A9" s="10" t="inlineStr">
        <is>
          <t>3.1 Frequency organizes sources, not effects</t>
        </is>
      </c>
      <c r="B9" s="10">
        <f>COUNTIF('15_Writing_Sentences'!$A$4:$A$357,A9)</f>
        <v/>
      </c>
      <c r="C9" s="10">
        <f>SUMIF('15_Writing_Sentences'!$A$4:$A$357,A9,'15_Writing_Sentences'!$E$4:$E$357)</f>
        <v/>
      </c>
      <c r="D9" s="25">
        <f>IFERROR(C9/B9,0)</f>
        <v/>
      </c>
      <c r="E9" s="10">
        <f>COUNTIFS('15_Writing_Sentences'!$A$4:$A$357,A9,'15_Writing_Sentences'!$F$4:$F$357,"Yes")</f>
        <v/>
      </c>
      <c r="F9" s="11">
        <f>IFERROR(E9/B9,0)</f>
        <v/>
      </c>
      <c r="G9" s="10">
        <f>COUNTIFS('15_Writing_Sentences'!$A$4:$A$357,A9,'15_Writing_Sentences'!$G$4:$G$357,"Yes")</f>
        <v/>
      </c>
      <c r="H9" s="11">
        <f>IFERROR(G9/B9,0)</f>
        <v/>
      </c>
      <c r="I9" s="10">
        <f>SUMIF('15_Writing_Sentences'!$A$4:$A$357,A9,'15_Writing_Sentences'!$H$4:$H$357)</f>
        <v/>
      </c>
      <c r="J9" s="10">
        <f>COUNTIFS('15_Writing_Sentences'!$A$4:$A$357,A9,'15_Writing_Sentences'!$I$4:$I$357,"&lt;&gt;")</f>
        <v/>
      </c>
      <c r="K9" s="10">
        <f>IF(OR(D9&gt;24,F9&gt;0.3,H9&gt;0.25),"High",IF(OR(D9&gt;20,F9&gt;0.2,H9&gt;0.18),"Medium","Low"))</f>
        <v/>
      </c>
      <c r="L9" s="10">
        <f>IF(K9="High","Prioritize sentence splitting, active voice and clutter removal",IF(K9="Medium","Target long / passive sentences","Light polish"))</f>
        <v/>
      </c>
      <c r="M9" s="10" t="inlineStr">
        <is>
          <t>Not reviewed</t>
        </is>
      </c>
    </row>
    <row r="10">
      <c r="A10" s="10" t="inlineStr">
        <is>
          <t>3.2 Source settings do not define receiver exposure</t>
        </is>
      </c>
      <c r="B10" s="10">
        <f>COUNTIF('15_Writing_Sentences'!$A$4:$A$357,A10)</f>
        <v/>
      </c>
      <c r="C10" s="10">
        <f>SUMIF('15_Writing_Sentences'!$A$4:$A$357,A10,'15_Writing_Sentences'!$E$4:$E$357)</f>
        <v/>
      </c>
      <c r="D10" s="25">
        <f>IFERROR(C10/B10,0)</f>
        <v/>
      </c>
      <c r="E10" s="10">
        <f>COUNTIFS('15_Writing_Sentences'!$A$4:$A$357,A10,'15_Writing_Sentences'!$F$4:$F$357,"Yes")</f>
        <v/>
      </c>
      <c r="F10" s="11">
        <f>IFERROR(E10/B10,0)</f>
        <v/>
      </c>
      <c r="G10" s="10">
        <f>COUNTIFS('15_Writing_Sentences'!$A$4:$A$357,A10,'15_Writing_Sentences'!$G$4:$G$357,"Yes")</f>
        <v/>
      </c>
      <c r="H10" s="11">
        <f>IFERROR(G10/B10,0)</f>
        <v/>
      </c>
      <c r="I10" s="10">
        <f>SUMIF('15_Writing_Sentences'!$A$4:$A$357,A10,'15_Writing_Sentences'!$H$4:$H$357)</f>
        <v/>
      </c>
      <c r="J10" s="10">
        <f>COUNTIFS('15_Writing_Sentences'!$A$4:$A$357,A10,'15_Writing_Sentences'!$I$4:$I$357,"&lt;&gt;")</f>
        <v/>
      </c>
      <c r="K10" s="10">
        <f>IF(OR(D10&gt;24,F10&gt;0.3,H10&gt;0.25),"High",IF(OR(D10&gt;20,F10&gt;0.2,H10&gt;0.18),"Medium","Low"))</f>
        <v/>
      </c>
      <c r="L10" s="10">
        <f>IF(K10="High","Prioritize sentence splitting, active voice and clutter removal",IF(K10="Medium","Target long / passive sentences","Light polish"))</f>
        <v/>
      </c>
      <c r="M10" s="10" t="inlineStr">
        <is>
          <t>Not reviewed</t>
        </is>
      </c>
    </row>
    <row r="11">
      <c r="A11" s="10" t="inlineStr">
        <is>
          <t>3.3 Fruit is an evolving receiver</t>
        </is>
      </c>
      <c r="B11" s="10">
        <f>COUNTIF('15_Writing_Sentences'!$A$4:$A$357,A11)</f>
        <v/>
      </c>
      <c r="C11" s="10">
        <f>SUMIF('15_Writing_Sentences'!$A$4:$A$357,A11,'15_Writing_Sentences'!$E$4:$E$357)</f>
        <v/>
      </c>
      <c r="D11" s="25">
        <f>IFERROR(C11/B11,0)</f>
        <v/>
      </c>
      <c r="E11" s="10">
        <f>COUNTIFS('15_Writing_Sentences'!$A$4:$A$357,A11,'15_Writing_Sentences'!$F$4:$F$357,"Yes")</f>
        <v/>
      </c>
      <c r="F11" s="11">
        <f>IFERROR(E11/B11,0)</f>
        <v/>
      </c>
      <c r="G11" s="10">
        <f>COUNTIFS('15_Writing_Sentences'!$A$4:$A$357,A11,'15_Writing_Sentences'!$G$4:$G$357,"Yes")</f>
        <v/>
      </c>
      <c r="H11" s="11">
        <f>IFERROR(G11/B11,0)</f>
        <v/>
      </c>
      <c r="I11" s="10">
        <f>SUMIF('15_Writing_Sentences'!$A$4:$A$357,A11,'15_Writing_Sentences'!$H$4:$H$357)</f>
        <v/>
      </c>
      <c r="J11" s="10">
        <f>COUNTIFS('15_Writing_Sentences'!$A$4:$A$357,A11,'15_Writing_Sentences'!$I$4:$I$357,"&lt;&gt;")</f>
        <v/>
      </c>
      <c r="K11" s="10">
        <f>IF(OR(D11&gt;24,F11&gt;0.3,H11&gt;0.25),"High",IF(OR(D11&gt;20,F11&gt;0.2,H11&gt;0.18),"Medium","Low"))</f>
        <v/>
      </c>
      <c r="L11" s="10">
        <f>IF(K11="High","Prioritize sentence splitting, active voice and clutter removal",IF(K11="Medium","Target long / passive sentences","Light polish"))</f>
        <v/>
      </c>
      <c r="M11" s="10" t="inlineStr">
        <is>
          <t>Not reviewed</t>
        </is>
      </c>
    </row>
    <row r="12">
      <c r="A12" s="10" t="inlineStr">
        <is>
          <t>3.4 Per-fruit and sentinel state estimation</t>
        </is>
      </c>
      <c r="B12" s="10">
        <f>COUNTIF('15_Writing_Sentences'!$A$4:$A$357,A12)</f>
        <v/>
      </c>
      <c r="C12" s="10">
        <f>SUMIF('15_Writing_Sentences'!$A$4:$A$357,A12,'15_Writing_Sentences'!$E$4:$E$357)</f>
        <v/>
      </c>
      <c r="D12" s="25">
        <f>IFERROR(C12/B12,0)</f>
        <v/>
      </c>
      <c r="E12" s="10">
        <f>COUNTIFS('15_Writing_Sentences'!$A$4:$A$357,A12,'15_Writing_Sentences'!$F$4:$F$357,"Yes")</f>
        <v/>
      </c>
      <c r="F12" s="11">
        <f>IFERROR(E12/B12,0)</f>
        <v/>
      </c>
      <c r="G12" s="10">
        <f>COUNTIFS('15_Writing_Sentences'!$A$4:$A$357,A12,'15_Writing_Sentences'!$G$4:$G$357,"Yes")</f>
        <v/>
      </c>
      <c r="H12" s="11">
        <f>IFERROR(G12/B12,0)</f>
        <v/>
      </c>
      <c r="I12" s="10">
        <f>SUMIF('15_Writing_Sentences'!$A$4:$A$357,A12,'15_Writing_Sentences'!$H$4:$H$357)</f>
        <v/>
      </c>
      <c r="J12" s="10">
        <f>COUNTIFS('15_Writing_Sentences'!$A$4:$A$357,A12,'15_Writing_Sentences'!$I$4:$I$357,"&lt;&gt;")</f>
        <v/>
      </c>
      <c r="K12" s="10">
        <f>IF(OR(D12&gt;24,F12&gt;0.3,H12&gt;0.25),"High",IF(OR(D12&gt;20,F12&gt;0.2,H12&gt;0.18),"Medium","Low"))</f>
        <v/>
      </c>
      <c r="L12" s="10">
        <f>IF(K12="High","Prioritize sentence splitting, active voice and clutter removal",IF(K12="Medium","Target long / passive sentences","Light polish"))</f>
        <v/>
      </c>
      <c r="M12" s="10" t="inlineStr">
        <is>
          <t>Not reviewed</t>
        </is>
      </c>
    </row>
    <row r="13">
      <c r="A13" s="10" t="inlineStr">
        <is>
          <t>4.1 Airborne effects on intact fruit: a connected evidence lineage</t>
        </is>
      </c>
      <c r="B13" s="10">
        <f>COUNTIF('15_Writing_Sentences'!$A$4:$A$357,A13)</f>
        <v/>
      </c>
      <c r="C13" s="10">
        <f>SUMIF('15_Writing_Sentences'!$A$4:$A$357,A13,'15_Writing_Sentences'!$E$4:$E$357)</f>
        <v/>
      </c>
      <c r="D13" s="25">
        <f>IFERROR(C13/B13,0)</f>
        <v/>
      </c>
      <c r="E13" s="10">
        <f>COUNTIFS('15_Writing_Sentences'!$A$4:$A$357,A13,'15_Writing_Sentences'!$F$4:$F$357,"Yes")</f>
        <v/>
      </c>
      <c r="F13" s="11">
        <f>IFERROR(E13/B13,0)</f>
        <v/>
      </c>
      <c r="G13" s="10">
        <f>COUNTIFS('15_Writing_Sentences'!$A$4:$A$357,A13,'15_Writing_Sentences'!$G$4:$G$357,"Yes")</f>
        <v/>
      </c>
      <c r="H13" s="11">
        <f>IFERROR(G13/B13,0)</f>
        <v/>
      </c>
      <c r="I13" s="10">
        <f>SUMIF('15_Writing_Sentences'!$A$4:$A$357,A13,'15_Writing_Sentences'!$H$4:$H$357)</f>
        <v/>
      </c>
      <c r="J13" s="10">
        <f>COUNTIFS('15_Writing_Sentences'!$A$4:$A$357,A13,'15_Writing_Sentences'!$I$4:$I$357,"&lt;&gt;")</f>
        <v/>
      </c>
      <c r="K13" s="10">
        <f>IF(OR(D13&gt;24,F13&gt;0.3,H13&gt;0.25),"High",IF(OR(D13&gt;20,F13&gt;0.2,H13&gt;0.18),"Medium","Low"))</f>
        <v/>
      </c>
      <c r="L13" s="10">
        <f>IF(K13="High","Prioritize sentence splitting, active voice and clutter removal",IF(K13="Medium","Target long / passive sentences","Light polish"))</f>
        <v/>
      </c>
      <c r="M13" s="10" t="inlineStr">
        <is>
          <t>Not reviewed</t>
        </is>
      </c>
    </row>
    <row r="14">
      <c r="A14" s="10" t="inlineStr">
        <is>
          <t>4.2 Adjacent plant and transport evidence</t>
        </is>
      </c>
      <c r="B14" s="10">
        <f>COUNTIF('15_Writing_Sentences'!$A$4:$A$357,A14)</f>
        <v/>
      </c>
      <c r="C14" s="10">
        <f>SUMIF('15_Writing_Sentences'!$A$4:$A$357,A14,'15_Writing_Sentences'!$E$4:$E$357)</f>
        <v/>
      </c>
      <c r="D14" s="25">
        <f>IFERROR(C14/B14,0)</f>
        <v/>
      </c>
      <c r="E14" s="10">
        <f>COUNTIFS('15_Writing_Sentences'!$A$4:$A$357,A14,'15_Writing_Sentences'!$F$4:$F$357,"Yes")</f>
        <v/>
      </c>
      <c r="F14" s="11">
        <f>IFERROR(E14/B14,0)</f>
        <v/>
      </c>
      <c r="G14" s="10">
        <f>COUNTIFS('15_Writing_Sentences'!$A$4:$A$357,A14,'15_Writing_Sentences'!$G$4:$G$357,"Yes")</f>
        <v/>
      </c>
      <c r="H14" s="11">
        <f>IFERROR(G14/B14,0)</f>
        <v/>
      </c>
      <c r="I14" s="10">
        <f>SUMIF('15_Writing_Sentences'!$A$4:$A$357,A14,'15_Writing_Sentences'!$H$4:$H$357)</f>
        <v/>
      </c>
      <c r="J14" s="10">
        <f>COUNTIFS('15_Writing_Sentences'!$A$4:$A$357,A14,'15_Writing_Sentences'!$I$4:$I$357,"&lt;&gt;")</f>
        <v/>
      </c>
      <c r="K14" s="10">
        <f>IF(OR(D14&gt;24,F14&gt;0.3,H14&gt;0.25),"High",IF(OR(D14&gt;20,F14&gt;0.2,H14&gt;0.18),"Medium","Low"))</f>
        <v/>
      </c>
      <c r="L14" s="10">
        <f>IF(K14="High","Prioritize sentence splitting, active voice and clutter removal",IF(K14="Medium","Target long / passive sentences","Light polish"))</f>
        <v/>
      </c>
      <c r="M14" s="10" t="inlineStr">
        <is>
          <t>Not reviewed</t>
        </is>
      </c>
    </row>
    <row r="15">
      <c r="A15" s="10" t="inlineStr">
        <is>
          <t>4.3 Acoustic sensing supplies the strongest industrial comparator</t>
        </is>
      </c>
      <c r="B15" s="10">
        <f>COUNTIF('15_Writing_Sentences'!$A$4:$A$357,A15)</f>
        <v/>
      </c>
      <c r="C15" s="10">
        <f>SUMIF('15_Writing_Sentences'!$A$4:$A$357,A15,'15_Writing_Sentences'!$E$4:$E$357)</f>
        <v/>
      </c>
      <c r="D15" s="25">
        <f>IFERROR(C15/B15,0)</f>
        <v/>
      </c>
      <c r="E15" s="10">
        <f>COUNTIFS('15_Writing_Sentences'!$A$4:$A$357,A15,'15_Writing_Sentences'!$F$4:$F$357,"Yes")</f>
        <v/>
      </c>
      <c r="F15" s="11">
        <f>IFERROR(E15/B15,0)</f>
        <v/>
      </c>
      <c r="G15" s="10">
        <f>COUNTIFS('15_Writing_Sentences'!$A$4:$A$357,A15,'15_Writing_Sentences'!$G$4:$G$357,"Yes")</f>
        <v/>
      </c>
      <c r="H15" s="11">
        <f>IFERROR(G15/B15,0)</f>
        <v/>
      </c>
      <c r="I15" s="10">
        <f>SUMIF('15_Writing_Sentences'!$A$4:$A$357,A15,'15_Writing_Sentences'!$H$4:$H$357)</f>
        <v/>
      </c>
      <c r="J15" s="10">
        <f>COUNTIFS('15_Writing_Sentences'!$A$4:$A$357,A15,'15_Writing_Sentences'!$I$4:$I$357,"&lt;&gt;")</f>
        <v/>
      </c>
      <c r="K15" s="10">
        <f>IF(OR(D15&gt;24,F15&gt;0.3,H15&gt;0.25),"High",IF(OR(D15&gt;20,F15&gt;0.2,H15&gt;0.18),"Medium","Low"))</f>
        <v/>
      </c>
      <c r="L15" s="10">
        <f>IF(K15="High","Prioritize sentence splitting, active voice and clutter removal",IF(K15="Medium","Target long / passive sentences","Light polish"))</f>
        <v/>
      </c>
      <c r="M15" s="10" t="inlineStr">
        <is>
          <t>Not reviewed</t>
        </is>
      </c>
    </row>
    <row r="16">
      <c r="A16" s="10" t="inlineStr">
        <is>
          <t>4.4 Liquid power ultrasound supplies metrology lessons</t>
        </is>
      </c>
      <c r="B16" s="10">
        <f>COUNTIF('15_Writing_Sentences'!$A$4:$A$357,A16)</f>
        <v/>
      </c>
      <c r="C16" s="10">
        <f>SUMIF('15_Writing_Sentences'!$A$4:$A$357,A16,'15_Writing_Sentences'!$E$4:$E$357)</f>
        <v/>
      </c>
      <c r="D16" s="25">
        <f>IFERROR(C16/B16,0)</f>
        <v/>
      </c>
      <c r="E16" s="10">
        <f>COUNTIFS('15_Writing_Sentences'!$A$4:$A$357,A16,'15_Writing_Sentences'!$F$4:$F$357,"Yes")</f>
        <v/>
      </c>
      <c r="F16" s="11">
        <f>IFERROR(E16/B16,0)</f>
        <v/>
      </c>
      <c r="G16" s="10">
        <f>COUNTIFS('15_Writing_Sentences'!$A$4:$A$357,A16,'15_Writing_Sentences'!$G$4:$G$357,"Yes")</f>
        <v/>
      </c>
      <c r="H16" s="11">
        <f>IFERROR(G16/B16,0)</f>
        <v/>
      </c>
      <c r="I16" s="10">
        <f>SUMIF('15_Writing_Sentences'!$A$4:$A$357,A16,'15_Writing_Sentences'!$H$4:$H$357)</f>
        <v/>
      </c>
      <c r="J16" s="10">
        <f>COUNTIFS('15_Writing_Sentences'!$A$4:$A$357,A16,'15_Writing_Sentences'!$I$4:$I$357,"&lt;&gt;")</f>
        <v/>
      </c>
      <c r="K16" s="10">
        <f>IF(OR(D16&gt;24,F16&gt;0.3,H16&gt;0.25),"High",IF(OR(D16&gt;20,F16&gt;0.2,H16&gt;0.18),"Medium","Low"))</f>
        <v/>
      </c>
      <c r="L16" s="10">
        <f>IF(K16="High","Prioritize sentence splitting, active voice and clutter removal",IF(K16="Medium","Target long / passive sentences","Light polish"))</f>
        <v/>
      </c>
      <c r="M16" s="10" t="inlineStr">
        <is>
          <t>Not reviewed</t>
        </is>
      </c>
    </row>
    <row r="17">
      <c r="A17" s="10" t="inlineStr">
        <is>
          <t>4.5 Biological plausibility does not establish the upstream route</t>
        </is>
      </c>
      <c r="B17" s="10">
        <f>COUNTIF('15_Writing_Sentences'!$A$4:$A$357,A17)</f>
        <v/>
      </c>
      <c r="C17" s="10">
        <f>SUMIF('15_Writing_Sentences'!$A$4:$A$357,A17,'15_Writing_Sentences'!$E$4:$E$357)</f>
        <v/>
      </c>
      <c r="D17" s="25">
        <f>IFERROR(C17/B17,0)</f>
        <v/>
      </c>
      <c r="E17" s="10">
        <f>COUNTIFS('15_Writing_Sentences'!$A$4:$A$357,A17,'15_Writing_Sentences'!$F$4:$F$357,"Yes")</f>
        <v/>
      </c>
      <c r="F17" s="11">
        <f>IFERROR(E17/B17,0)</f>
        <v/>
      </c>
      <c r="G17" s="10">
        <f>COUNTIFS('15_Writing_Sentences'!$A$4:$A$357,A17,'15_Writing_Sentences'!$G$4:$G$357,"Yes")</f>
        <v/>
      </c>
      <c r="H17" s="11">
        <f>IFERROR(G17/B17,0)</f>
        <v/>
      </c>
      <c r="I17" s="10">
        <f>SUMIF('15_Writing_Sentences'!$A$4:$A$357,A17,'15_Writing_Sentences'!$H$4:$H$357)</f>
        <v/>
      </c>
      <c r="J17" s="10">
        <f>COUNTIFS('15_Writing_Sentences'!$A$4:$A$357,A17,'15_Writing_Sentences'!$I$4:$I$357,"&lt;&gt;")</f>
        <v/>
      </c>
      <c r="K17" s="10">
        <f>IF(OR(D17&gt;24,F17&gt;0.3,H17&gt;0.25),"High",IF(OR(D17&gt;20,F17&gt;0.2,H17&gt;0.18),"Medium","Low"))</f>
        <v/>
      </c>
      <c r="L17" s="10">
        <f>IF(K17="High","Prioritize sentence splitting, active voice and clutter removal",IF(K17="Medium","Target long / passive sentences","Light polish"))</f>
        <v/>
      </c>
      <c r="M17" s="10" t="inlineStr">
        <is>
          <t>Not reviewed</t>
        </is>
      </c>
    </row>
    <row r="18">
      <c r="A18" s="10" t="inlineStr">
        <is>
          <t>5. Contradictions reveal hidden exposure variables</t>
        </is>
      </c>
      <c r="B18" s="10">
        <f>COUNTIF('15_Writing_Sentences'!$A$4:$A$357,A18)</f>
        <v/>
      </c>
      <c r="C18" s="10">
        <f>SUMIF('15_Writing_Sentences'!$A$4:$A$357,A18,'15_Writing_Sentences'!$E$4:$E$357)</f>
        <v/>
      </c>
      <c r="D18" s="25">
        <f>IFERROR(C18/B18,0)</f>
        <v/>
      </c>
      <c r="E18" s="10">
        <f>COUNTIFS('15_Writing_Sentences'!$A$4:$A$357,A18,'15_Writing_Sentences'!$F$4:$F$357,"Yes")</f>
        <v/>
      </c>
      <c r="F18" s="11">
        <f>IFERROR(E18/B18,0)</f>
        <v/>
      </c>
      <c r="G18" s="10">
        <f>COUNTIFS('15_Writing_Sentences'!$A$4:$A$357,A18,'15_Writing_Sentences'!$G$4:$G$357,"Yes")</f>
        <v/>
      </c>
      <c r="H18" s="11">
        <f>IFERROR(G18/B18,0)</f>
        <v/>
      </c>
      <c r="I18" s="10">
        <f>SUMIF('15_Writing_Sentences'!$A$4:$A$357,A18,'15_Writing_Sentences'!$H$4:$H$357)</f>
        <v/>
      </c>
      <c r="J18" s="10">
        <f>COUNTIFS('15_Writing_Sentences'!$A$4:$A$357,A18,'15_Writing_Sentences'!$I$4:$I$357,"&lt;&gt;")</f>
        <v/>
      </c>
      <c r="K18" s="10">
        <f>IF(OR(D18&gt;24,F18&gt;0.3,H18&gt;0.25),"High",IF(OR(D18&gt;20,F18&gt;0.2,H18&gt;0.18),"Medium","Low"))</f>
        <v/>
      </c>
      <c r="L18" s="10">
        <f>IF(K18="High","Prioritize sentence splitting, active voice and clutter removal",IF(K18="Medium","Target long / passive sentences","Light polish"))</f>
        <v/>
      </c>
      <c r="M18" s="10" t="inlineStr">
        <is>
          <t>Not reviewed</t>
        </is>
      </c>
    </row>
    <row r="19">
      <c r="A19" s="10" t="inlineStr">
        <is>
          <t>5.1 One kilohertz treatment versus low-order tomato modes</t>
        </is>
      </c>
      <c r="B19" s="10">
        <f>COUNTIF('15_Writing_Sentences'!$A$4:$A$357,A19)</f>
        <v/>
      </c>
      <c r="C19" s="10">
        <f>SUMIF('15_Writing_Sentences'!$A$4:$A$357,A19,'15_Writing_Sentences'!$E$4:$E$357)</f>
        <v/>
      </c>
      <c r="D19" s="25">
        <f>IFERROR(C19/B19,0)</f>
        <v/>
      </c>
      <c r="E19" s="10">
        <f>COUNTIFS('15_Writing_Sentences'!$A$4:$A$357,A19,'15_Writing_Sentences'!$F$4:$F$357,"Yes")</f>
        <v/>
      </c>
      <c r="F19" s="11">
        <f>IFERROR(E19/B19,0)</f>
        <v/>
      </c>
      <c r="G19" s="10">
        <f>COUNTIFS('15_Writing_Sentences'!$A$4:$A$357,A19,'15_Writing_Sentences'!$G$4:$G$357,"Yes")</f>
        <v/>
      </c>
      <c r="H19" s="11">
        <f>IFERROR(G19/B19,0)</f>
        <v/>
      </c>
      <c r="I19" s="10">
        <f>SUMIF('15_Writing_Sentences'!$A$4:$A$357,A19,'15_Writing_Sentences'!$H$4:$H$357)</f>
        <v/>
      </c>
      <c r="J19" s="10">
        <f>COUNTIFS('15_Writing_Sentences'!$A$4:$A$357,A19,'15_Writing_Sentences'!$I$4:$I$357,"&lt;&gt;")</f>
        <v/>
      </c>
      <c r="K19" s="10">
        <f>IF(OR(D19&gt;24,F19&gt;0.3,H19&gt;0.25),"High",IF(OR(D19&gt;20,F19&gt;0.2,H19&gt;0.18),"Medium","Low"))</f>
        <v/>
      </c>
      <c r="L19" s="10">
        <f>IF(K19="High","Prioritize sentence splitting, active voice and clutter removal",IF(K19="Medium","Target long / passive sentences","Light polish"))</f>
        <v/>
      </c>
      <c r="M19" s="10" t="inlineStr">
        <is>
          <t>Not reviewed</t>
        </is>
      </c>
    </row>
    <row r="20">
      <c r="A20" s="10" t="inlineStr">
        <is>
          <t>5.2 Firmness retention versus tissue-wall weakening</t>
        </is>
      </c>
      <c r="B20" s="10">
        <f>COUNTIF('15_Writing_Sentences'!$A$4:$A$357,A20)</f>
        <v/>
      </c>
      <c r="C20" s="10">
        <f>SUMIF('15_Writing_Sentences'!$A$4:$A$357,A20,'15_Writing_Sentences'!$E$4:$E$357)</f>
        <v/>
      </c>
      <c r="D20" s="25">
        <f>IFERROR(C20/B20,0)</f>
        <v/>
      </c>
      <c r="E20" s="10">
        <f>COUNTIFS('15_Writing_Sentences'!$A$4:$A$357,A20,'15_Writing_Sentences'!$F$4:$F$357,"Yes")</f>
        <v/>
      </c>
      <c r="F20" s="11">
        <f>IFERROR(E20/B20,0)</f>
        <v/>
      </c>
      <c r="G20" s="10">
        <f>COUNTIFS('15_Writing_Sentences'!$A$4:$A$357,A20,'15_Writing_Sentences'!$G$4:$G$357,"Yes")</f>
        <v/>
      </c>
      <c r="H20" s="11">
        <f>IFERROR(G20/B20,0)</f>
        <v/>
      </c>
      <c r="I20" s="10">
        <f>SUMIF('15_Writing_Sentences'!$A$4:$A$357,A20,'15_Writing_Sentences'!$H$4:$H$357)</f>
        <v/>
      </c>
      <c r="J20" s="10">
        <f>COUNTIFS('15_Writing_Sentences'!$A$4:$A$357,A20,'15_Writing_Sentences'!$I$4:$I$357,"&lt;&gt;")</f>
        <v/>
      </c>
      <c r="K20" s="10">
        <f>IF(OR(D20&gt;24,F20&gt;0.3,H20&gt;0.25),"High",IF(OR(D20&gt;20,F20&gt;0.2,H20&gt;0.18),"Medium","Low"))</f>
        <v/>
      </c>
      <c r="L20" s="10">
        <f>IF(K20="High","Prioritize sentence splitting, active voice and clutter removal",IF(K20="Medium","Target long / passive sentences","Light polish"))</f>
        <v/>
      </c>
      <c r="M20" s="10" t="inlineStr">
        <is>
          <t>Not reviewed</t>
        </is>
      </c>
    </row>
    <row r="21">
      <c r="A21" s="10" t="inlineStr">
        <is>
          <t>5.3 Accelerated versus delayed ripening</t>
        </is>
      </c>
      <c r="B21" s="10">
        <f>COUNTIF('15_Writing_Sentences'!$A$4:$A$357,A21)</f>
        <v/>
      </c>
      <c r="C21" s="10">
        <f>SUMIF('15_Writing_Sentences'!$A$4:$A$357,A21,'15_Writing_Sentences'!$E$4:$E$357)</f>
        <v/>
      </c>
      <c r="D21" s="25">
        <f>IFERROR(C21/B21,0)</f>
        <v/>
      </c>
      <c r="E21" s="10">
        <f>COUNTIFS('15_Writing_Sentences'!$A$4:$A$357,A21,'15_Writing_Sentences'!$F$4:$F$357,"Yes")</f>
        <v/>
      </c>
      <c r="F21" s="11">
        <f>IFERROR(E21/B21,0)</f>
        <v/>
      </c>
      <c r="G21" s="10">
        <f>COUNTIFS('15_Writing_Sentences'!$A$4:$A$357,A21,'15_Writing_Sentences'!$G$4:$G$357,"Yes")</f>
        <v/>
      </c>
      <c r="H21" s="11">
        <f>IFERROR(G21/B21,0)</f>
        <v/>
      </c>
      <c r="I21" s="10">
        <f>SUMIF('15_Writing_Sentences'!$A$4:$A$357,A21,'15_Writing_Sentences'!$H$4:$H$357)</f>
        <v/>
      </c>
      <c r="J21" s="10">
        <f>COUNTIFS('15_Writing_Sentences'!$A$4:$A$357,A21,'15_Writing_Sentences'!$I$4:$I$357,"&lt;&gt;")</f>
        <v/>
      </c>
      <c r="K21" s="10">
        <f>IF(OR(D21&gt;24,F21&gt;0.3,H21&gt;0.25),"High",IF(OR(D21&gt;20,F21&gt;0.2,H21&gt;0.18),"Medium","Low"))</f>
        <v/>
      </c>
      <c r="L21" s="10">
        <f>IF(K21="High","Prioritize sentence splitting, active voice and clutter removal",IF(K21="Medium","Target long / passive sentences","Light polish"))</f>
        <v/>
      </c>
      <c r="M21" s="10" t="inlineStr">
        <is>
          <t>Not reviewed</t>
        </is>
      </c>
    </row>
    <row r="22">
      <c r="A22" s="10" t="inlineStr">
        <is>
          <t>5.4 Repeated molecular signals versus latent mechanics</t>
        </is>
      </c>
      <c r="B22" s="10">
        <f>COUNTIF('15_Writing_Sentences'!$A$4:$A$357,A22)</f>
        <v/>
      </c>
      <c r="C22" s="10">
        <f>SUMIF('15_Writing_Sentences'!$A$4:$A$357,A22,'15_Writing_Sentences'!$E$4:$E$357)</f>
        <v/>
      </c>
      <c r="D22" s="25">
        <f>IFERROR(C22/B22,0)</f>
        <v/>
      </c>
      <c r="E22" s="10">
        <f>COUNTIFS('15_Writing_Sentences'!$A$4:$A$357,A22,'15_Writing_Sentences'!$F$4:$F$357,"Yes")</f>
        <v/>
      </c>
      <c r="F22" s="11">
        <f>IFERROR(E22/B22,0)</f>
        <v/>
      </c>
      <c r="G22" s="10">
        <f>COUNTIFS('15_Writing_Sentences'!$A$4:$A$357,A22,'15_Writing_Sentences'!$G$4:$G$357,"Yes")</f>
        <v/>
      </c>
      <c r="H22" s="11">
        <f>IFERROR(G22/B22,0)</f>
        <v/>
      </c>
      <c r="I22" s="10">
        <f>SUMIF('15_Writing_Sentences'!$A$4:$A$357,A22,'15_Writing_Sentences'!$H$4:$H$357)</f>
        <v/>
      </c>
      <c r="J22" s="10">
        <f>COUNTIFS('15_Writing_Sentences'!$A$4:$A$357,A22,'15_Writing_Sentences'!$I$4:$I$357,"&lt;&gt;")</f>
        <v/>
      </c>
      <c r="K22" s="10">
        <f>IF(OR(D22&gt;24,F22&gt;0.3,H22&gt;0.25),"High",IF(OR(D22&gt;20,F22&gt;0.2,H22&gt;0.18),"Medium","Low"))</f>
        <v/>
      </c>
      <c r="L22" s="10">
        <f>IF(K22="High","Prioritize sentence splitting, active voice and clutter removal",IF(K22="Medium","Target long / passive sentences","Light polish"))</f>
        <v/>
      </c>
      <c r="M22" s="10" t="inlineStr">
        <is>
          <t>Not reviewed</t>
        </is>
      </c>
    </row>
    <row r="23">
      <c r="A23" s="10" t="inlineStr">
        <is>
          <t>5.5 Success and failure of acoustic sensing</t>
        </is>
      </c>
      <c r="B23" s="10">
        <f>COUNTIF('15_Writing_Sentences'!$A$4:$A$357,A23)</f>
        <v/>
      </c>
      <c r="C23" s="10">
        <f>SUMIF('15_Writing_Sentences'!$A$4:$A$357,A23,'15_Writing_Sentences'!$E$4:$E$357)</f>
        <v/>
      </c>
      <c r="D23" s="25">
        <f>IFERROR(C23/B23,0)</f>
        <v/>
      </c>
      <c r="E23" s="10">
        <f>COUNTIFS('15_Writing_Sentences'!$A$4:$A$357,A23,'15_Writing_Sentences'!$F$4:$F$357,"Yes")</f>
        <v/>
      </c>
      <c r="F23" s="11">
        <f>IFERROR(E23/B23,0)</f>
        <v/>
      </c>
      <c r="G23" s="10">
        <f>COUNTIFS('15_Writing_Sentences'!$A$4:$A$357,A23,'15_Writing_Sentences'!$G$4:$G$357,"Yes")</f>
        <v/>
      </c>
      <c r="H23" s="11">
        <f>IFERROR(G23/B23,0)</f>
        <v/>
      </c>
      <c r="I23" s="10">
        <f>SUMIF('15_Writing_Sentences'!$A$4:$A$357,A23,'15_Writing_Sentences'!$H$4:$H$357)</f>
        <v/>
      </c>
      <c r="J23" s="10">
        <f>COUNTIFS('15_Writing_Sentences'!$A$4:$A$357,A23,'15_Writing_Sentences'!$I$4:$I$357,"&lt;&gt;")</f>
        <v/>
      </c>
      <c r="K23" s="10">
        <f>IF(OR(D23&gt;24,F23&gt;0.3,H23&gt;0.25),"High",IF(OR(D23&gt;20,F23&gt;0.2,H23&gt;0.18),"Medium","Low"))</f>
        <v/>
      </c>
      <c r="L23" s="10">
        <f>IF(K23="High","Prioritize sentence splitting, active voice and clutter removal",IF(K23="Medium","Target long / passive sentences","Light polish"))</f>
        <v/>
      </c>
      <c r="M23" s="10" t="inlineStr">
        <is>
          <t>Not reviewed</t>
        </is>
      </c>
    </row>
    <row r="24">
      <c r="A24" s="10" t="inlineStr">
        <is>
          <t>6.1 Receiver-Centred Exposure Passport</t>
        </is>
      </c>
      <c r="B24" s="10">
        <f>COUNTIF('15_Writing_Sentences'!$A$4:$A$357,A24)</f>
        <v/>
      </c>
      <c r="C24" s="10">
        <f>SUMIF('15_Writing_Sentences'!$A$4:$A$357,A24,'15_Writing_Sentences'!$E$4:$E$357)</f>
        <v/>
      </c>
      <c r="D24" s="25">
        <f>IFERROR(C24/B24,0)</f>
        <v/>
      </c>
      <c r="E24" s="10">
        <f>COUNTIFS('15_Writing_Sentences'!$A$4:$A$357,A24,'15_Writing_Sentences'!$F$4:$F$357,"Yes")</f>
        <v/>
      </c>
      <c r="F24" s="11">
        <f>IFERROR(E24/B24,0)</f>
        <v/>
      </c>
      <c r="G24" s="10">
        <f>COUNTIFS('15_Writing_Sentences'!$A$4:$A$357,A24,'15_Writing_Sentences'!$G$4:$G$357,"Yes")</f>
        <v/>
      </c>
      <c r="H24" s="11">
        <f>IFERROR(G24/B24,0)</f>
        <v/>
      </c>
      <c r="I24" s="10">
        <f>SUMIF('15_Writing_Sentences'!$A$4:$A$357,A24,'15_Writing_Sentences'!$H$4:$H$357)</f>
        <v/>
      </c>
      <c r="J24" s="10">
        <f>COUNTIFS('15_Writing_Sentences'!$A$4:$A$357,A24,'15_Writing_Sentences'!$I$4:$I$357,"&lt;&gt;")</f>
        <v/>
      </c>
      <c r="K24" s="10">
        <f>IF(OR(D24&gt;24,F24&gt;0.3,H24&gt;0.25),"High",IF(OR(D24&gt;20,F24&gt;0.2,H24&gt;0.18),"Medium","Low"))</f>
        <v/>
      </c>
      <c r="L24" s="10">
        <f>IF(K24="High","Prioritize sentence splitting, active voice and clutter removal",IF(K24="Medium","Target long / passive sentences","Light polish"))</f>
        <v/>
      </c>
      <c r="M24" s="10" t="inlineStr">
        <is>
          <t>Not reviewed</t>
        </is>
      </c>
    </row>
    <row r="25">
      <c r="A25" s="10" t="inlineStr">
        <is>
          <t>6.2 Acoustic Operating Window</t>
        </is>
      </c>
      <c r="B25" s="10">
        <f>COUNTIF('15_Writing_Sentences'!$A$4:$A$357,A25)</f>
        <v/>
      </c>
      <c r="C25" s="10">
        <f>SUMIF('15_Writing_Sentences'!$A$4:$A$357,A25,'15_Writing_Sentences'!$E$4:$E$357)</f>
        <v/>
      </c>
      <c r="D25" s="25">
        <f>IFERROR(C25/B25,0)</f>
        <v/>
      </c>
      <c r="E25" s="10">
        <f>COUNTIFS('15_Writing_Sentences'!$A$4:$A$357,A25,'15_Writing_Sentences'!$F$4:$F$357,"Yes")</f>
        <v/>
      </c>
      <c r="F25" s="11">
        <f>IFERROR(E25/B25,0)</f>
        <v/>
      </c>
      <c r="G25" s="10">
        <f>COUNTIFS('15_Writing_Sentences'!$A$4:$A$357,A25,'15_Writing_Sentences'!$G$4:$G$357,"Yes")</f>
        <v/>
      </c>
      <c r="H25" s="11">
        <f>IFERROR(G25/B25,0)</f>
        <v/>
      </c>
      <c r="I25" s="10">
        <f>SUMIF('15_Writing_Sentences'!$A$4:$A$357,A25,'15_Writing_Sentences'!$H$4:$H$357)</f>
        <v/>
      </c>
      <c r="J25" s="10">
        <f>COUNTIFS('15_Writing_Sentences'!$A$4:$A$357,A25,'15_Writing_Sentences'!$I$4:$I$357,"&lt;&gt;")</f>
        <v/>
      </c>
      <c r="K25" s="10">
        <f>IF(OR(D25&gt;24,F25&gt;0.3,H25&gt;0.25),"High",IF(OR(D25&gt;20,F25&gt;0.2,H25&gt;0.18),"Medium","Low"))</f>
        <v/>
      </c>
      <c r="L25" s="10">
        <f>IF(K25="High","Prioritize sentence splitting, active voice and clutter removal",IF(K25="Medium","Target long / passive sentences","Light polish"))</f>
        <v/>
      </c>
      <c r="M25" s="10" t="inlineStr">
        <is>
          <t>Not reviewed</t>
        </is>
      </c>
    </row>
    <row r="26">
      <c r="A26" s="10" t="inlineStr">
        <is>
          <t>6.3 Route separation, sentinel fruit and receiver equivalence</t>
        </is>
      </c>
      <c r="B26" s="10">
        <f>COUNTIF('15_Writing_Sentences'!$A$4:$A$357,A26)</f>
        <v/>
      </c>
      <c r="C26" s="10">
        <f>SUMIF('15_Writing_Sentences'!$A$4:$A$357,A26,'15_Writing_Sentences'!$E$4:$E$357)</f>
        <v/>
      </c>
      <c r="D26" s="25">
        <f>IFERROR(C26/B26,0)</f>
        <v/>
      </c>
      <c r="E26" s="10">
        <f>COUNTIFS('15_Writing_Sentences'!$A$4:$A$357,A26,'15_Writing_Sentences'!$F$4:$F$357,"Yes")</f>
        <v/>
      </c>
      <c r="F26" s="11">
        <f>IFERROR(E26/B26,0)</f>
        <v/>
      </c>
      <c r="G26" s="10">
        <f>COUNTIFS('15_Writing_Sentences'!$A$4:$A$357,A26,'15_Writing_Sentences'!$G$4:$G$357,"Yes")</f>
        <v/>
      </c>
      <c r="H26" s="11">
        <f>IFERROR(G26/B26,0)</f>
        <v/>
      </c>
      <c r="I26" s="10">
        <f>SUMIF('15_Writing_Sentences'!$A$4:$A$357,A26,'15_Writing_Sentences'!$H$4:$H$357)</f>
        <v/>
      </c>
      <c r="J26" s="10">
        <f>COUNTIFS('15_Writing_Sentences'!$A$4:$A$357,A26,'15_Writing_Sentences'!$I$4:$I$357,"&lt;&gt;")</f>
        <v/>
      </c>
      <c r="K26" s="10">
        <f>IF(OR(D26&gt;24,F26&gt;0.3,H26&gt;0.25),"High",IF(OR(D26&gt;20,F26&gt;0.2,H26&gt;0.18),"Medium","Low"))</f>
        <v/>
      </c>
      <c r="L26" s="10">
        <f>IF(K26="High","Prioritize sentence splitting, active voice and clutter removal",IF(K26="Medium","Target long / passive sentences","Light polish"))</f>
        <v/>
      </c>
      <c r="M26" s="10" t="inlineStr">
        <is>
          <t>Not reviewed</t>
        </is>
      </c>
    </row>
    <row r="27">
      <c r="A27" s="10" t="inlineStr">
        <is>
          <t>7.1 Longitudinal quality replaces single endpoints</t>
        </is>
      </c>
      <c r="B27" s="10">
        <f>COUNTIF('15_Writing_Sentences'!$A$4:$A$357,A27)</f>
        <v/>
      </c>
      <c r="C27" s="10">
        <f>SUMIF('15_Writing_Sentences'!$A$4:$A$357,A27,'15_Writing_Sentences'!$E$4:$E$357)</f>
        <v/>
      </c>
      <c r="D27" s="25">
        <f>IFERROR(C27/B27,0)</f>
        <v/>
      </c>
      <c r="E27" s="10">
        <f>COUNTIFS('15_Writing_Sentences'!$A$4:$A$357,A27,'15_Writing_Sentences'!$F$4:$F$357,"Yes")</f>
        <v/>
      </c>
      <c r="F27" s="11">
        <f>IFERROR(E27/B27,0)</f>
        <v/>
      </c>
      <c r="G27" s="10">
        <f>COUNTIFS('15_Writing_Sentences'!$A$4:$A$357,A27,'15_Writing_Sentences'!$G$4:$G$357,"Yes")</f>
        <v/>
      </c>
      <c r="H27" s="11">
        <f>IFERROR(G27/B27,0)</f>
        <v/>
      </c>
      <c r="I27" s="10">
        <f>SUMIF('15_Writing_Sentences'!$A$4:$A$357,A27,'15_Writing_Sentences'!$H$4:$H$357)</f>
        <v/>
      </c>
      <c r="J27" s="10">
        <f>COUNTIFS('15_Writing_Sentences'!$A$4:$A$357,A27,'15_Writing_Sentences'!$I$4:$I$357,"&lt;&gt;")</f>
        <v/>
      </c>
      <c r="K27" s="10">
        <f>IF(OR(D27&gt;24,F27&gt;0.3,H27&gt;0.25),"High",IF(OR(D27&gt;20,F27&gt;0.2,H27&gt;0.18),"Medium","Low"))</f>
        <v/>
      </c>
      <c r="L27" s="10">
        <f>IF(K27="High","Prioritize sentence splitting, active voice and clutter removal",IF(K27="Medium","Target long / passive sentences","Light polish"))</f>
        <v/>
      </c>
      <c r="M27" s="10" t="inlineStr">
        <is>
          <t>Not reviewed</t>
        </is>
      </c>
    </row>
    <row r="28">
      <c r="A28" s="10" t="inlineStr">
        <is>
          <t>7.2 Safety and adverse boundaries</t>
        </is>
      </c>
      <c r="B28" s="10">
        <f>COUNTIF('15_Writing_Sentences'!$A$4:$A$357,A28)</f>
        <v/>
      </c>
      <c r="C28" s="10">
        <f>SUMIF('15_Writing_Sentences'!$A$4:$A$357,A28,'15_Writing_Sentences'!$E$4:$E$357)</f>
        <v/>
      </c>
      <c r="D28" s="25">
        <f>IFERROR(C28/B28,0)</f>
        <v/>
      </c>
      <c r="E28" s="10">
        <f>COUNTIFS('15_Writing_Sentences'!$A$4:$A$357,A28,'15_Writing_Sentences'!$F$4:$F$357,"Yes")</f>
        <v/>
      </c>
      <c r="F28" s="11">
        <f>IFERROR(E28/B28,0)</f>
        <v/>
      </c>
      <c r="G28" s="10">
        <f>COUNTIFS('15_Writing_Sentences'!$A$4:$A$357,A28,'15_Writing_Sentences'!$G$4:$G$357,"Yes")</f>
        <v/>
      </c>
      <c r="H28" s="11">
        <f>IFERROR(G28/B28,0)</f>
        <v/>
      </c>
      <c r="I28" s="10">
        <f>SUMIF('15_Writing_Sentences'!$A$4:$A$357,A28,'15_Writing_Sentences'!$H$4:$H$357)</f>
        <v/>
      </c>
      <c r="J28" s="10">
        <f>COUNTIFS('15_Writing_Sentences'!$A$4:$A$357,A28,'15_Writing_Sentences'!$I$4:$I$357,"&lt;&gt;")</f>
        <v/>
      </c>
      <c r="K28" s="10">
        <f>IF(OR(D28&gt;24,F28&gt;0.3,H28&gt;0.25),"High",IF(OR(D28&gt;20,F28&gt;0.2,H28&gt;0.18),"Medium","Low"))</f>
        <v/>
      </c>
      <c r="L28" s="10">
        <f>IF(K28="High","Prioritize sentence splitting, active voice and clutter removal",IF(K28="Medium","Target long / passive sentences","Light polish"))</f>
        <v/>
      </c>
      <c r="M28" s="10" t="inlineStr">
        <is>
          <t>Not reviewed</t>
        </is>
      </c>
    </row>
    <row r="29">
      <c r="A29" s="10" t="inlineStr">
        <is>
          <t>7.3 Loaded-system design and scale-up</t>
        </is>
      </c>
      <c r="B29" s="10">
        <f>COUNTIF('15_Writing_Sentences'!$A$4:$A$357,A29)</f>
        <v/>
      </c>
      <c r="C29" s="10">
        <f>SUMIF('15_Writing_Sentences'!$A$4:$A$357,A29,'15_Writing_Sentences'!$E$4:$E$357)</f>
        <v/>
      </c>
      <c r="D29" s="25">
        <f>IFERROR(C29/B29,0)</f>
        <v/>
      </c>
      <c r="E29" s="10">
        <f>COUNTIFS('15_Writing_Sentences'!$A$4:$A$357,A29,'15_Writing_Sentences'!$F$4:$F$357,"Yes")</f>
        <v/>
      </c>
      <c r="F29" s="11">
        <f>IFERROR(E29/B29,0)</f>
        <v/>
      </c>
      <c r="G29" s="10">
        <f>COUNTIFS('15_Writing_Sentences'!$A$4:$A$357,A29,'15_Writing_Sentences'!$G$4:$G$357,"Yes")</f>
        <v/>
      </c>
      <c r="H29" s="11">
        <f>IFERROR(G29/B29,0)</f>
        <v/>
      </c>
      <c r="I29" s="10">
        <f>SUMIF('15_Writing_Sentences'!$A$4:$A$357,A29,'15_Writing_Sentences'!$H$4:$H$357)</f>
        <v/>
      </c>
      <c r="J29" s="10">
        <f>COUNTIFS('15_Writing_Sentences'!$A$4:$A$357,A29,'15_Writing_Sentences'!$I$4:$I$357,"&lt;&gt;")</f>
        <v/>
      </c>
      <c r="K29" s="10">
        <f>IF(OR(D29&gt;24,F29&gt;0.3,H29&gt;0.25),"High",IF(OR(D29&gt;20,F29&gt;0.2,H29&gt;0.18),"Medium","Low"))</f>
        <v/>
      </c>
      <c r="L29" s="10">
        <f>IF(K29="High","Prioritize sentence splitting, active voice and clutter removal",IF(K29="Medium","Target long / passive sentences","Light polish"))</f>
        <v/>
      </c>
      <c r="M29" s="10" t="inlineStr">
        <is>
          <t>Not reviewed</t>
        </is>
      </c>
    </row>
    <row r="30">
      <c r="A30" s="10" t="inlineStr">
        <is>
          <t>7.4 Economic and sustainability decision value</t>
        </is>
      </c>
      <c r="B30" s="10">
        <f>COUNTIF('15_Writing_Sentences'!$A$4:$A$357,A30)</f>
        <v/>
      </c>
      <c r="C30" s="10">
        <f>SUMIF('15_Writing_Sentences'!$A$4:$A$357,A30,'15_Writing_Sentences'!$E$4:$E$357)</f>
        <v/>
      </c>
      <c r="D30" s="25">
        <f>IFERROR(C30/B30,0)</f>
        <v/>
      </c>
      <c r="E30" s="10">
        <f>COUNTIFS('15_Writing_Sentences'!$A$4:$A$357,A30,'15_Writing_Sentences'!$F$4:$F$357,"Yes")</f>
        <v/>
      </c>
      <c r="F30" s="11">
        <f>IFERROR(E30/B30,0)</f>
        <v/>
      </c>
      <c r="G30" s="10">
        <f>COUNTIFS('15_Writing_Sentences'!$A$4:$A$357,A30,'15_Writing_Sentences'!$G$4:$G$357,"Yes")</f>
        <v/>
      </c>
      <c r="H30" s="11">
        <f>IFERROR(G30/B30,0)</f>
        <v/>
      </c>
      <c r="I30" s="10">
        <f>SUMIF('15_Writing_Sentences'!$A$4:$A$357,A30,'15_Writing_Sentences'!$H$4:$H$357)</f>
        <v/>
      </c>
      <c r="J30" s="10">
        <f>COUNTIFS('15_Writing_Sentences'!$A$4:$A$357,A30,'15_Writing_Sentences'!$I$4:$I$357,"&lt;&gt;")</f>
        <v/>
      </c>
      <c r="K30" s="10">
        <f>IF(OR(D30&gt;24,F30&gt;0.3,H30&gt;0.25),"High",IF(OR(D30&gt;20,F30&gt;0.2,H30&gt;0.18),"Medium","Low"))</f>
        <v/>
      </c>
      <c r="L30" s="10">
        <f>IF(K30="High","Prioritize sentence splitting, active voice and clutter removal",IF(K30="Medium","Target long / passive sentences","Light polish"))</f>
        <v/>
      </c>
      <c r="M30" s="10" t="inlineStr">
        <is>
          <t>Not reviewed</t>
        </is>
      </c>
    </row>
    <row r="31">
      <c r="A31" s="10" t="inlineStr">
        <is>
          <t>7.5 Digital control remains downstream of physical validation</t>
        </is>
      </c>
      <c r="B31" s="10">
        <f>COUNTIF('15_Writing_Sentences'!$A$4:$A$357,A31)</f>
        <v/>
      </c>
      <c r="C31" s="10">
        <f>SUMIF('15_Writing_Sentences'!$A$4:$A$357,A31,'15_Writing_Sentences'!$E$4:$E$357)</f>
        <v/>
      </c>
      <c r="D31" s="25">
        <f>IFERROR(C31/B31,0)</f>
        <v/>
      </c>
      <c r="E31" s="10">
        <f>COUNTIFS('15_Writing_Sentences'!$A$4:$A$357,A31,'15_Writing_Sentences'!$F$4:$F$357,"Yes")</f>
        <v/>
      </c>
      <c r="F31" s="11">
        <f>IFERROR(E31/B31,0)</f>
        <v/>
      </c>
      <c r="G31" s="10">
        <f>COUNTIFS('15_Writing_Sentences'!$A$4:$A$357,A31,'15_Writing_Sentences'!$G$4:$G$357,"Yes")</f>
        <v/>
      </c>
      <c r="H31" s="11">
        <f>IFERROR(G31/B31,0)</f>
        <v/>
      </c>
      <c r="I31" s="10">
        <f>SUMIF('15_Writing_Sentences'!$A$4:$A$357,A31,'15_Writing_Sentences'!$H$4:$H$357)</f>
        <v/>
      </c>
      <c r="J31" s="10">
        <f>COUNTIFS('15_Writing_Sentences'!$A$4:$A$357,A31,'15_Writing_Sentences'!$I$4:$I$357,"&lt;&gt;")</f>
        <v/>
      </c>
      <c r="K31" s="10">
        <f>IF(OR(D31&gt;24,F31&gt;0.3,H31&gt;0.25),"High",IF(OR(D31&gt;20,F31&gt;0.2,H31&gt;0.18),"Medium","Low"))</f>
        <v/>
      </c>
      <c r="L31" s="10">
        <f>IF(K31="High","Prioritize sentence splitting, active voice and clutter removal",IF(K31="Medium","Target long / passive sentences","Light polish"))</f>
        <v/>
      </c>
      <c r="M31" s="10" t="inlineStr">
        <is>
          <t>Not reviewed</t>
        </is>
      </c>
    </row>
    <row r="32">
      <c r="A32" s="10" t="inlineStr">
        <is>
          <t>8.1 The motion-clamped, route-separated experiment</t>
        </is>
      </c>
      <c r="B32" s="10">
        <f>COUNTIF('15_Writing_Sentences'!$A$4:$A$357,A32)</f>
        <v/>
      </c>
      <c r="C32" s="10">
        <f>SUMIF('15_Writing_Sentences'!$A$4:$A$357,A32,'15_Writing_Sentences'!$E$4:$E$357)</f>
        <v/>
      </c>
      <c r="D32" s="25">
        <f>IFERROR(C32/B32,0)</f>
        <v/>
      </c>
      <c r="E32" s="10">
        <f>COUNTIFS('15_Writing_Sentences'!$A$4:$A$357,A32,'15_Writing_Sentences'!$F$4:$F$357,"Yes")</f>
        <v/>
      </c>
      <c r="F32" s="11">
        <f>IFERROR(E32/B32,0)</f>
        <v/>
      </c>
      <c r="G32" s="10">
        <f>COUNTIFS('15_Writing_Sentences'!$A$4:$A$357,A32,'15_Writing_Sentences'!$G$4:$G$357,"Yes")</f>
        <v/>
      </c>
      <c r="H32" s="11">
        <f>IFERROR(G32/B32,0)</f>
        <v/>
      </c>
      <c r="I32" s="10">
        <f>SUMIF('15_Writing_Sentences'!$A$4:$A$357,A32,'15_Writing_Sentences'!$H$4:$H$357)</f>
        <v/>
      </c>
      <c r="J32" s="10">
        <f>COUNTIFS('15_Writing_Sentences'!$A$4:$A$357,A32,'15_Writing_Sentences'!$I$4:$I$357,"&lt;&gt;")</f>
        <v/>
      </c>
      <c r="K32" s="10">
        <f>IF(OR(D32&gt;24,F32&gt;0.3,H32&gt;0.25),"High",IF(OR(D32&gt;20,F32&gt;0.2,H32&gt;0.18),"Medium","Low"))</f>
        <v/>
      </c>
      <c r="L32" s="10">
        <f>IF(K32="High","Prioritize sentence splitting, active voice and clutter removal",IF(K32="Medium","Target long / passive sentences","Light polish"))</f>
        <v/>
      </c>
      <c r="M32" s="10" t="inlineStr">
        <is>
          <t>Not reviewed</t>
        </is>
      </c>
    </row>
    <row r="33">
      <c r="A33" s="10" t="inlineStr">
        <is>
          <t>8.2 Three-stage programme</t>
        </is>
      </c>
      <c r="B33" s="10">
        <f>COUNTIF('15_Writing_Sentences'!$A$4:$A$357,A33)</f>
        <v/>
      </c>
      <c r="C33" s="10">
        <f>SUMIF('15_Writing_Sentences'!$A$4:$A$357,A33,'15_Writing_Sentences'!$E$4:$E$357)</f>
        <v/>
      </c>
      <c r="D33" s="25">
        <f>IFERROR(C33/B33,0)</f>
        <v/>
      </c>
      <c r="E33" s="10">
        <f>COUNTIFS('15_Writing_Sentences'!$A$4:$A$357,A33,'15_Writing_Sentences'!$F$4:$F$357,"Yes")</f>
        <v/>
      </c>
      <c r="F33" s="11">
        <f>IFERROR(E33/B33,0)</f>
        <v/>
      </c>
      <c r="G33" s="10">
        <f>COUNTIFS('15_Writing_Sentences'!$A$4:$A$357,A33,'15_Writing_Sentences'!$G$4:$G$357,"Yes")</f>
        <v/>
      </c>
      <c r="H33" s="11">
        <f>IFERROR(G33/B33,0)</f>
        <v/>
      </c>
      <c r="I33" s="10">
        <f>SUMIF('15_Writing_Sentences'!$A$4:$A$357,A33,'15_Writing_Sentences'!$H$4:$H$357)</f>
        <v/>
      </c>
      <c r="J33" s="10">
        <f>COUNTIFS('15_Writing_Sentences'!$A$4:$A$357,A33,'15_Writing_Sentences'!$I$4:$I$357,"&lt;&gt;")</f>
        <v/>
      </c>
      <c r="K33" s="10">
        <f>IF(OR(D33&gt;24,F33&gt;0.3,H33&gt;0.25),"High",IF(OR(D33&gt;20,F33&gt;0.2,H33&gt;0.18),"Medium","Low"))</f>
        <v/>
      </c>
      <c r="L33" s="10">
        <f>IF(K33="High","Prioritize sentence splitting, active voice and clutter removal",IF(K33="Medium","Target long / passive sentences","Light polish"))</f>
        <v/>
      </c>
      <c r="M33" s="10" t="inlineStr">
        <is>
          <t>Not reviewed</t>
        </is>
      </c>
    </row>
    <row r="34">
      <c r="A34" s="10" t="inlineStr">
        <is>
          <t>9. Limitations and boundary conditions</t>
        </is>
      </c>
      <c r="B34" s="10">
        <f>COUNTIF('15_Writing_Sentences'!$A$4:$A$357,A34)</f>
        <v/>
      </c>
      <c r="C34" s="10">
        <f>SUMIF('15_Writing_Sentences'!$A$4:$A$357,A34,'15_Writing_Sentences'!$E$4:$E$357)</f>
        <v/>
      </c>
      <c r="D34" s="25">
        <f>IFERROR(C34/B34,0)</f>
        <v/>
      </c>
      <c r="E34" s="10">
        <f>COUNTIFS('15_Writing_Sentences'!$A$4:$A$357,A34,'15_Writing_Sentences'!$F$4:$F$357,"Yes")</f>
        <v/>
      </c>
      <c r="F34" s="11">
        <f>IFERROR(E34/B34,0)</f>
        <v/>
      </c>
      <c r="G34" s="10">
        <f>COUNTIFS('15_Writing_Sentences'!$A$4:$A$357,A34,'15_Writing_Sentences'!$G$4:$G$357,"Yes")</f>
        <v/>
      </c>
      <c r="H34" s="11">
        <f>IFERROR(G34/B34,0)</f>
        <v/>
      </c>
      <c r="I34" s="10">
        <f>SUMIF('15_Writing_Sentences'!$A$4:$A$357,A34,'15_Writing_Sentences'!$H$4:$H$357)</f>
        <v/>
      </c>
      <c r="J34" s="10">
        <f>COUNTIFS('15_Writing_Sentences'!$A$4:$A$357,A34,'15_Writing_Sentences'!$I$4:$I$357,"&lt;&gt;")</f>
        <v/>
      </c>
      <c r="K34" s="10">
        <f>IF(OR(D34&gt;24,F34&gt;0.3,H34&gt;0.25),"High",IF(OR(D34&gt;20,F34&gt;0.2,H34&gt;0.18),"Medium","Low"))</f>
        <v/>
      </c>
      <c r="L34" s="10">
        <f>IF(K34="High","Prioritize sentence splitting, active voice and clutter removal",IF(K34="Medium","Target long / passive sentences","Light polish"))</f>
        <v/>
      </c>
      <c r="M34" s="10" t="inlineStr">
        <is>
          <t>Not reviewed</t>
        </is>
      </c>
    </row>
    <row r="35">
      <c r="A35" s="10" t="inlineStr">
        <is>
          <t>10. Conclusions</t>
        </is>
      </c>
      <c r="B35" s="10">
        <f>COUNTIF('15_Writing_Sentences'!$A$4:$A$357,A35)</f>
        <v/>
      </c>
      <c r="C35" s="10">
        <f>SUMIF('15_Writing_Sentences'!$A$4:$A$357,A35,'15_Writing_Sentences'!$E$4:$E$357)</f>
        <v/>
      </c>
      <c r="D35" s="25">
        <f>IFERROR(C35/B35,0)</f>
        <v/>
      </c>
      <c r="E35" s="10">
        <f>COUNTIFS('15_Writing_Sentences'!$A$4:$A$357,A35,'15_Writing_Sentences'!$F$4:$F$357,"Yes")</f>
        <v/>
      </c>
      <c r="F35" s="11">
        <f>IFERROR(E35/B35,0)</f>
        <v/>
      </c>
      <c r="G35" s="10">
        <f>COUNTIFS('15_Writing_Sentences'!$A$4:$A$357,A35,'15_Writing_Sentences'!$G$4:$G$357,"Yes")</f>
        <v/>
      </c>
      <c r="H35" s="11">
        <f>IFERROR(G35/B35,0)</f>
        <v/>
      </c>
      <c r="I35" s="10">
        <f>SUMIF('15_Writing_Sentences'!$A$4:$A$357,A35,'15_Writing_Sentences'!$H$4:$H$357)</f>
        <v/>
      </c>
      <c r="J35" s="10">
        <f>COUNTIFS('15_Writing_Sentences'!$A$4:$A$357,A35,'15_Writing_Sentences'!$I$4:$I$357,"&lt;&gt;")</f>
        <v/>
      </c>
      <c r="K35" s="10">
        <f>IF(OR(D35&gt;24,F35&gt;0.3,H35&gt;0.25),"High",IF(OR(D35&gt;20,F35&gt;0.2,H35&gt;0.18),"Medium","Low"))</f>
        <v/>
      </c>
      <c r="L35" s="10">
        <f>IF(K35="High","Prioritize sentence splitting, active voice and clutter removal",IF(K35="Medium","Target long / passive sentences","Light polish"))</f>
        <v/>
      </c>
      <c r="M35" s="10" t="inlineStr">
        <is>
          <t>Not reviewed</t>
        </is>
      </c>
    </row>
    <row r="36">
      <c r="A36" s="10" t="inlineStr">
        <is>
          <t>Author contributions</t>
        </is>
      </c>
      <c r="B36" s="10">
        <f>COUNTIF('15_Writing_Sentences'!$A$4:$A$357,A36)</f>
        <v/>
      </c>
      <c r="C36" s="10">
        <f>SUMIF('15_Writing_Sentences'!$A$4:$A$357,A36,'15_Writing_Sentences'!$E$4:$E$357)</f>
        <v/>
      </c>
      <c r="D36" s="25">
        <f>IFERROR(C36/B36,0)</f>
        <v/>
      </c>
      <c r="E36" s="10">
        <f>COUNTIFS('15_Writing_Sentences'!$A$4:$A$357,A36,'15_Writing_Sentences'!$F$4:$F$357,"Yes")</f>
        <v/>
      </c>
      <c r="F36" s="11">
        <f>IFERROR(E36/B36,0)</f>
        <v/>
      </c>
      <c r="G36" s="10">
        <f>COUNTIFS('15_Writing_Sentences'!$A$4:$A$357,A36,'15_Writing_Sentences'!$G$4:$G$357,"Yes")</f>
        <v/>
      </c>
      <c r="H36" s="11">
        <f>IFERROR(G36/B36,0)</f>
        <v/>
      </c>
      <c r="I36" s="10">
        <f>SUMIF('15_Writing_Sentences'!$A$4:$A$357,A36,'15_Writing_Sentences'!$H$4:$H$357)</f>
        <v/>
      </c>
      <c r="J36" s="10">
        <f>COUNTIFS('15_Writing_Sentences'!$A$4:$A$357,A36,'15_Writing_Sentences'!$I$4:$I$357,"&lt;&gt;")</f>
        <v/>
      </c>
      <c r="K36" s="10">
        <f>IF(OR(D36&gt;24,F36&gt;0.3,H36&gt;0.25),"High",IF(OR(D36&gt;20,F36&gt;0.2,H36&gt;0.18),"Medium","Low"))</f>
        <v/>
      </c>
      <c r="L36" s="10">
        <f>IF(K36="High","Prioritize sentence splitting, active voice and clutter removal",IF(K36="Medium","Target long / passive sentences","Light polish"))</f>
        <v/>
      </c>
      <c r="M36" s="10" t="inlineStr">
        <is>
          <t>Not reviewed</t>
        </is>
      </c>
    </row>
    <row r="37">
      <c r="A37" s="10" t="inlineStr">
        <is>
          <t>Funding</t>
        </is>
      </c>
      <c r="B37" s="10">
        <f>COUNTIF('15_Writing_Sentences'!$A$4:$A$357,A37)</f>
        <v/>
      </c>
      <c r="C37" s="10">
        <f>SUMIF('15_Writing_Sentences'!$A$4:$A$357,A37,'15_Writing_Sentences'!$E$4:$E$357)</f>
        <v/>
      </c>
      <c r="D37" s="25">
        <f>IFERROR(C37/B37,0)</f>
        <v/>
      </c>
      <c r="E37" s="10">
        <f>COUNTIFS('15_Writing_Sentences'!$A$4:$A$357,A37,'15_Writing_Sentences'!$F$4:$F$357,"Yes")</f>
        <v/>
      </c>
      <c r="F37" s="11">
        <f>IFERROR(E37/B37,0)</f>
        <v/>
      </c>
      <c r="G37" s="10">
        <f>COUNTIFS('15_Writing_Sentences'!$A$4:$A$357,A37,'15_Writing_Sentences'!$G$4:$G$357,"Yes")</f>
        <v/>
      </c>
      <c r="H37" s="11">
        <f>IFERROR(G37/B37,0)</f>
        <v/>
      </c>
      <c r="I37" s="10">
        <f>SUMIF('15_Writing_Sentences'!$A$4:$A$357,A37,'15_Writing_Sentences'!$H$4:$H$357)</f>
        <v/>
      </c>
      <c r="J37" s="10">
        <f>COUNTIFS('15_Writing_Sentences'!$A$4:$A$357,A37,'15_Writing_Sentences'!$I$4:$I$357,"&lt;&gt;")</f>
        <v/>
      </c>
      <c r="K37" s="10">
        <f>IF(OR(D37&gt;24,F37&gt;0.3,H37&gt;0.25),"High",IF(OR(D37&gt;20,F37&gt;0.2,H37&gt;0.18),"Medium","Low"))</f>
        <v/>
      </c>
      <c r="L37" s="10">
        <f>IF(K37="High","Prioritize sentence splitting, active voice and clutter removal",IF(K37="Medium","Target long / passive sentences","Light polish"))</f>
        <v/>
      </c>
      <c r="M37" s="10" t="inlineStr">
        <is>
          <t>Not reviewed</t>
        </is>
      </c>
    </row>
    <row r="38">
      <c r="A38" s="10" t="inlineStr">
        <is>
          <t>Declaration of competing interest</t>
        </is>
      </c>
      <c r="B38" s="10">
        <f>COUNTIF('15_Writing_Sentences'!$A$4:$A$357,A38)</f>
        <v/>
      </c>
      <c r="C38" s="10">
        <f>SUMIF('15_Writing_Sentences'!$A$4:$A$357,A38,'15_Writing_Sentences'!$E$4:$E$357)</f>
        <v/>
      </c>
      <c r="D38" s="25">
        <f>IFERROR(C38/B38,0)</f>
        <v/>
      </c>
      <c r="E38" s="10">
        <f>COUNTIFS('15_Writing_Sentences'!$A$4:$A$357,A38,'15_Writing_Sentences'!$F$4:$F$357,"Yes")</f>
        <v/>
      </c>
      <c r="F38" s="11">
        <f>IFERROR(E38/B38,0)</f>
        <v/>
      </c>
      <c r="G38" s="10">
        <f>COUNTIFS('15_Writing_Sentences'!$A$4:$A$357,A38,'15_Writing_Sentences'!$G$4:$G$357,"Yes")</f>
        <v/>
      </c>
      <c r="H38" s="11">
        <f>IFERROR(G38/B38,0)</f>
        <v/>
      </c>
      <c r="I38" s="10">
        <f>SUMIF('15_Writing_Sentences'!$A$4:$A$357,A38,'15_Writing_Sentences'!$H$4:$H$357)</f>
        <v/>
      </c>
      <c r="J38" s="10">
        <f>COUNTIFS('15_Writing_Sentences'!$A$4:$A$357,A38,'15_Writing_Sentences'!$I$4:$I$357,"&lt;&gt;")</f>
        <v/>
      </c>
      <c r="K38" s="10">
        <f>IF(OR(D38&gt;24,F38&gt;0.3,H38&gt;0.25),"High",IF(OR(D38&gt;20,F38&gt;0.2,H38&gt;0.18),"Medium","Low"))</f>
        <v/>
      </c>
      <c r="L38" s="10">
        <f>IF(K38="High","Prioritize sentence splitting, active voice and clutter removal",IF(K38="Medium","Target long / passive sentences","Light polish"))</f>
        <v/>
      </c>
      <c r="M38" s="10" t="inlineStr">
        <is>
          <t>Not reviewed</t>
        </is>
      </c>
    </row>
    <row r="39">
      <c r="A39" s="10" t="inlineStr">
        <is>
          <t>Data availability</t>
        </is>
      </c>
      <c r="B39" s="10">
        <f>COUNTIF('15_Writing_Sentences'!$A$4:$A$357,A39)</f>
        <v/>
      </c>
      <c r="C39" s="10">
        <f>SUMIF('15_Writing_Sentences'!$A$4:$A$357,A39,'15_Writing_Sentences'!$E$4:$E$357)</f>
        <v/>
      </c>
      <c r="D39" s="25">
        <f>IFERROR(C39/B39,0)</f>
        <v/>
      </c>
      <c r="E39" s="10">
        <f>COUNTIFS('15_Writing_Sentences'!$A$4:$A$357,A39,'15_Writing_Sentences'!$F$4:$F$357,"Yes")</f>
        <v/>
      </c>
      <c r="F39" s="11">
        <f>IFERROR(E39/B39,0)</f>
        <v/>
      </c>
      <c r="G39" s="10">
        <f>COUNTIFS('15_Writing_Sentences'!$A$4:$A$357,A39,'15_Writing_Sentences'!$G$4:$G$357,"Yes")</f>
        <v/>
      </c>
      <c r="H39" s="11">
        <f>IFERROR(G39/B39,0)</f>
        <v/>
      </c>
      <c r="I39" s="10">
        <f>SUMIF('15_Writing_Sentences'!$A$4:$A$357,A39,'15_Writing_Sentences'!$H$4:$H$357)</f>
        <v/>
      </c>
      <c r="J39" s="10">
        <f>COUNTIFS('15_Writing_Sentences'!$A$4:$A$357,A39,'15_Writing_Sentences'!$I$4:$I$357,"&lt;&gt;")</f>
        <v/>
      </c>
      <c r="K39" s="10">
        <f>IF(OR(D39&gt;24,F39&gt;0.3,H39&gt;0.25),"High",IF(OR(D39&gt;20,F39&gt;0.2,H39&gt;0.18),"Medium","Low"))</f>
        <v/>
      </c>
      <c r="L39" s="10">
        <f>IF(K39="High","Prioritize sentence splitting, active voice and clutter removal",IF(K39="Medium","Target long / passive sentences","Light polish"))</f>
        <v/>
      </c>
      <c r="M39" s="10" t="inlineStr">
        <is>
          <t>Not reviewed</t>
        </is>
      </c>
    </row>
    <row r="40">
      <c r="A40" s="10" t="inlineStr">
        <is>
          <t>Generative AI declaration</t>
        </is>
      </c>
      <c r="B40" s="10">
        <f>COUNTIF('15_Writing_Sentences'!$A$4:$A$357,A40)</f>
        <v/>
      </c>
      <c r="C40" s="10">
        <f>SUMIF('15_Writing_Sentences'!$A$4:$A$357,A40,'15_Writing_Sentences'!$E$4:$E$357)</f>
        <v/>
      </c>
      <c r="D40" s="25">
        <f>IFERROR(C40/B40,0)</f>
        <v/>
      </c>
      <c r="E40" s="10">
        <f>COUNTIFS('15_Writing_Sentences'!$A$4:$A$357,A40,'15_Writing_Sentences'!$F$4:$F$357,"Yes")</f>
        <v/>
      </c>
      <c r="F40" s="11">
        <f>IFERROR(E40/B40,0)</f>
        <v/>
      </c>
      <c r="G40" s="10">
        <f>COUNTIFS('15_Writing_Sentences'!$A$4:$A$357,A40,'15_Writing_Sentences'!$G$4:$G$357,"Yes")</f>
        <v/>
      </c>
      <c r="H40" s="11">
        <f>IFERROR(G40/B40,0)</f>
        <v/>
      </c>
      <c r="I40" s="10">
        <f>SUMIF('15_Writing_Sentences'!$A$4:$A$357,A40,'15_Writing_Sentences'!$H$4:$H$357)</f>
        <v/>
      </c>
      <c r="J40" s="10">
        <f>COUNTIFS('15_Writing_Sentences'!$A$4:$A$357,A40,'15_Writing_Sentences'!$I$4:$I$357,"&lt;&gt;")</f>
        <v/>
      </c>
      <c r="K40" s="10">
        <f>IF(OR(D40&gt;24,F40&gt;0.3,H40&gt;0.25),"High",IF(OR(D40&gt;20,F40&gt;0.2,H40&gt;0.18),"Medium","Low"))</f>
        <v/>
      </c>
      <c r="L40" s="10">
        <f>IF(K40="High","Prioritize sentence splitting, active voice and clutter removal",IF(K40="Medium","Target long / passive sentences","Light polish"))</f>
        <v/>
      </c>
      <c r="M40" s="10" t="inlineStr">
        <is>
          <t>Not reviewed</t>
        </is>
      </c>
    </row>
    <row r="41">
      <c r="A41" s="10" t="inlineStr">
        <is>
          <t>Acknowledgements</t>
        </is>
      </c>
      <c r="B41" s="10">
        <f>COUNTIF('15_Writing_Sentences'!$A$4:$A$357,A41)</f>
        <v/>
      </c>
      <c r="C41" s="10">
        <f>SUMIF('15_Writing_Sentences'!$A$4:$A$357,A41,'15_Writing_Sentences'!$E$4:$E$357)</f>
        <v/>
      </c>
      <c r="D41" s="25">
        <f>IFERROR(C41/B41,0)</f>
        <v/>
      </c>
      <c r="E41" s="10">
        <f>COUNTIFS('15_Writing_Sentences'!$A$4:$A$357,A41,'15_Writing_Sentences'!$F$4:$F$357,"Yes")</f>
        <v/>
      </c>
      <c r="F41" s="11">
        <f>IFERROR(E41/B41,0)</f>
        <v/>
      </c>
      <c r="G41" s="10">
        <f>COUNTIFS('15_Writing_Sentences'!$A$4:$A$357,A41,'15_Writing_Sentences'!$G$4:$G$357,"Yes")</f>
        <v/>
      </c>
      <c r="H41" s="11">
        <f>IFERROR(G41/B41,0)</f>
        <v/>
      </c>
      <c r="I41" s="10">
        <f>SUMIF('15_Writing_Sentences'!$A$4:$A$357,A41,'15_Writing_Sentences'!$H$4:$H$357)</f>
        <v/>
      </c>
      <c r="J41" s="10">
        <f>COUNTIFS('15_Writing_Sentences'!$A$4:$A$357,A41,'15_Writing_Sentences'!$I$4:$I$357,"&lt;&gt;")</f>
        <v/>
      </c>
      <c r="K41" s="10">
        <f>IF(OR(D41&gt;24,F41&gt;0.3,H41&gt;0.25),"High",IF(OR(D41&gt;20,F41&gt;0.2,H41&gt;0.18),"Medium","Low"))</f>
        <v/>
      </c>
      <c r="L41" s="10">
        <f>IF(K41="High","Prioritize sentence splitting, active voice and clutter removal",IF(K41="Medium","Target long / passive sentences","Light polish"))</f>
        <v/>
      </c>
      <c r="M41" s="10" t="inlineStr">
        <is>
          <t>Not reviewed</t>
        </is>
      </c>
    </row>
  </sheetData>
  <mergeCells count="2">
    <mergeCell ref="A2:M2"/>
    <mergeCell ref="A1:M1"/>
  </mergeCells>
  <conditionalFormatting sqref="M4:M41">
    <cfRule type="expression" priority="1" dxfId="0">
      <formula>$M4="Complete"</formula>
    </cfRule>
    <cfRule type="expression" priority="2" dxfId="1">
      <formula>$M4="In progress"</formula>
    </cfRule>
    <cfRule type="expression" priority="3" dxfId="2">
      <formula>$M4="Needs verification"</formula>
    </cfRule>
    <cfRule type="expression" priority="4" dxfId="3">
      <formula>$M4="Needs revision"</formula>
    </cfRule>
    <cfRule type="expression" priority="5" dxfId="4">
      <formula>$M4="Not started"</formula>
    </cfRule>
    <cfRule type="expression" priority="6" dxfId="5">
      <formula>$M4="Not applicable"</formula>
    </cfRule>
  </conditionalFormatting>
  <conditionalFormatting sqref="K4:K41">
    <cfRule type="expression" priority="7" dxfId="4">
      <formula>K4="High"</formula>
    </cfRule>
    <cfRule type="expression" priority="8" dxfId="2">
      <formula>K4="Medium"</formula>
    </cfRule>
    <cfRule type="expression" priority="9" dxfId="0">
      <formula>K4="Low"</formula>
    </cfRule>
  </conditionalFormatting>
  <dataValidations count="1">
    <dataValidation sqref="M4:M41" showDropDown="0" showInputMessage="0" showErrorMessage="0" allowBlank="1" type="list">
      <formula1>=Lists!$A$2:$A$7</formula1>
    </dataValidation>
  </dataValidations>
  <pageMargins left="0.25" right="0.25" top="0.4" bottom="0.4" header="0.5" footer="0.5"/>
  <pageSetup orientation="landscape" fitToHeight="0" fitToWidth="1"/>
  <tableParts count="1">
    <tablePart xmlns:r="http://schemas.openxmlformats.org/officeDocument/2006/relationships" r:id="rId1"/>
  </tableParts>
</worksheet>
</file>

<file path=xl/worksheets/sheet17.xml><?xml version="1.0" encoding="utf-8"?>
<worksheet xmlns="http://schemas.openxmlformats.org/spreadsheetml/2006/main">
  <sheetPr>
    <tabColor rgb="00C55A11"/>
    <outlinePr summaryBelow="1" summaryRight="1"/>
    <pageSetUpPr fitToPage="1"/>
  </sheetPr>
  <dimension ref="A1:P17"/>
  <sheetViews>
    <sheetView showGridLines="0" zoomScale="80" workbookViewId="0">
      <pane ySplit="3" topLeftCell="A4" activePane="bottomLeft" state="frozen"/>
      <selection pane="bottomLeft" activeCell="A1" sqref="A1"/>
    </sheetView>
  </sheetViews>
  <sheetFormatPr baseColWidth="8" defaultRowHeight="15"/>
  <cols>
    <col width="10" customWidth="1" min="1" max="1"/>
    <col width="20" customWidth="1" min="2" max="2"/>
    <col width="54" customWidth="1" min="3" max="3"/>
    <col width="44" customWidth="1" min="4" max="4"/>
    <col width="32" customWidth="1" min="5" max="5"/>
    <col width="12" customWidth="1" min="6" max="6"/>
    <col width="12" customWidth="1" min="7" max="7"/>
    <col width="12" customWidth="1" min="8" max="8"/>
    <col width="14" customWidth="1" min="9" max="9"/>
    <col width="12" customWidth="1" min="10" max="10"/>
    <col width="15" customWidth="1" min="11" max="11"/>
    <col width="18" customWidth="1" min="12" max="12"/>
    <col width="13" customWidth="1" min="13" max="13"/>
    <col width="36" customWidth="1" min="14" max="14"/>
    <col width="28" customWidth="1" min="15" max="15"/>
    <col width="30" customWidth="1" min="16" max="16"/>
  </cols>
  <sheetData>
    <row r="1" ht="30" customHeight="1">
      <c r="A1" s="1" t="inlineStr">
        <is>
          <t>Prioritized Pre-Submission Action Plan</t>
        </is>
      </c>
    </row>
    <row r="2" ht="28" customHeight="1">
      <c r="A2" s="2" t="inlineStr">
        <is>
          <t>Complete Critical blockers first. The plan focuses on evidence integrity before language polish.</t>
        </is>
      </c>
    </row>
    <row r="3">
      <c r="A3" s="9" t="inlineStr">
        <is>
          <t>Action ID</t>
        </is>
      </c>
      <c r="B3" s="9" t="inlineStr">
        <is>
          <t>Category</t>
        </is>
      </c>
      <c r="C3" s="9" t="inlineStr">
        <is>
          <t>Action</t>
        </is>
      </c>
      <c r="D3" s="9" t="inlineStr">
        <is>
          <t>Why it matters</t>
        </is>
      </c>
      <c r="E3" s="9" t="inlineStr">
        <is>
          <t>Dependency</t>
        </is>
      </c>
      <c r="F3" s="9" t="inlineStr">
        <is>
          <t>Impact (1–5)</t>
        </is>
      </c>
      <c r="G3" s="9" t="inlineStr">
        <is>
          <t>Effort (1–5)</t>
        </is>
      </c>
      <c r="H3" s="9" t="inlineStr">
        <is>
          <t>Urgency (1–5)</t>
        </is>
      </c>
      <c r="I3" s="9" t="inlineStr">
        <is>
          <t>Priority index</t>
        </is>
      </c>
      <c r="J3" s="9" t="inlineStr">
        <is>
          <t>Priority</t>
        </is>
      </c>
      <c r="K3" s="9" t="inlineStr">
        <is>
          <t>Owner</t>
        </is>
      </c>
      <c r="L3" s="9" t="inlineStr">
        <is>
          <t>Status</t>
        </is>
      </c>
      <c r="M3" s="9" t="inlineStr">
        <is>
          <t>Due date</t>
        </is>
      </c>
      <c r="N3" s="9" t="inlineStr">
        <is>
          <t>Evidence of completion</t>
        </is>
      </c>
      <c r="O3" s="9" t="inlineStr">
        <is>
          <t>Linked sheet / item</t>
        </is>
      </c>
      <c r="P3" s="9" t="inlineStr">
        <is>
          <t>Notes</t>
        </is>
      </c>
    </row>
    <row r="4">
      <c r="A4" s="10" t="inlineStr">
        <is>
          <t>A01</t>
        </is>
      </c>
      <c r="B4" s="10" t="inlineStr">
        <is>
          <t>Review method</t>
        </is>
      </c>
      <c r="C4" s="10" t="inlineStr">
        <is>
          <t>Complete final database searches, exact strings, dates and record counts.</t>
        </is>
      </c>
      <c r="D4" s="10" t="inlineStr">
        <is>
          <t>Supports corpus completeness and 0/7 claim.</t>
        </is>
      </c>
      <c r="E4" s="10" t="inlineStr">
        <is>
          <t>Access to databases / search exports</t>
        </is>
      </c>
      <c r="F4" s="10" t="n">
        <v>5</v>
      </c>
      <c r="G4" s="10" t="n">
        <v>4</v>
      </c>
      <c r="H4" s="10" t="n">
        <v>5</v>
      </c>
      <c r="I4" s="10">
        <f>ROUND((F4*H4)/MAX(G4,1),2)</f>
        <v/>
      </c>
      <c r="J4" s="10" t="inlineStr">
        <is>
          <t>Critical</t>
        </is>
      </c>
      <c r="K4" s="10" t="inlineStr"/>
      <c r="L4" s="10" t="inlineStr">
        <is>
          <t>Not started</t>
        </is>
      </c>
      <c r="M4" s="10" t="inlineStr"/>
      <c r="N4" s="10" t="inlineStr">
        <is>
          <t>Search log + S1 populated</t>
        </is>
      </c>
      <c r="O4" s="10" t="inlineStr">
        <is>
          <t>02 / S1</t>
        </is>
      </c>
      <c r="P4" s="10" t="inlineStr"/>
    </row>
    <row r="5">
      <c r="A5" s="10" t="inlineStr">
        <is>
          <t>A02</t>
        </is>
      </c>
      <c r="B5" s="10" t="inlineStr">
        <is>
          <t>Evidence audit</t>
        </is>
      </c>
      <c r="C5" s="10" t="inlineStr">
        <is>
          <t>Independently verify all seven studies and every A–D cell with source pages.</t>
        </is>
      </c>
      <c r="D5" s="10" t="inlineStr">
        <is>
          <t>Makes the evidence heatmap auditable.</t>
        </is>
      </c>
      <c r="E5" s="10" t="inlineStr">
        <is>
          <t>Full texts + second reviewer</t>
        </is>
      </c>
      <c r="F5" s="10" t="n">
        <v>5</v>
      </c>
      <c r="G5" s="10" t="n">
        <v>4</v>
      </c>
      <c r="H5" s="10" t="n">
        <v>5</v>
      </c>
      <c r="I5" s="10">
        <f>ROUND((F5*H5)/MAX(G5,1),2)</f>
        <v/>
      </c>
      <c r="J5" s="10" t="inlineStr">
        <is>
          <t>Critical</t>
        </is>
      </c>
      <c r="K5" s="10" t="inlineStr"/>
      <c r="L5" s="10" t="inlineStr">
        <is>
          <t>Not started</t>
        </is>
      </c>
      <c r="M5" s="10" t="inlineStr"/>
      <c r="N5" s="10" t="inlineStr">
        <is>
          <t>Signed coding log + S3</t>
        </is>
      </c>
      <c r="O5" s="10" t="inlineStr">
        <is>
          <t>06 / Table 2 / Fig 3</t>
        </is>
      </c>
      <c r="P5" s="10" t="inlineStr"/>
    </row>
    <row r="6">
      <c r="A6" s="10" t="inlineStr">
        <is>
          <t>A03</t>
        </is>
      </c>
      <c r="B6" s="10" t="inlineStr">
        <is>
          <t>Reference integrity</t>
        </is>
      </c>
      <c r="C6" s="10" t="inlineStr">
        <is>
          <t>Verify all 127 citations, DOIs and claim support.</t>
        </is>
      </c>
      <c r="D6" s="10" t="inlineStr">
        <is>
          <t>Prevents unsupported or mis-cited claims.</t>
        </is>
      </c>
      <c r="E6" s="10" t="inlineStr">
        <is>
          <t>Reference manager / full texts</t>
        </is>
      </c>
      <c r="F6" s="10" t="n">
        <v>5</v>
      </c>
      <c r="G6" s="10" t="n">
        <v>5</v>
      </c>
      <c r="H6" s="10" t="n">
        <v>4</v>
      </c>
      <c r="I6" s="10">
        <f>ROUND((F6*H6)/MAX(G6,1),2)</f>
        <v/>
      </c>
      <c r="J6" s="10" t="inlineStr">
        <is>
          <t>Critical</t>
        </is>
      </c>
      <c r="K6" s="10" t="inlineStr"/>
      <c r="L6" s="10" t="inlineStr">
        <is>
          <t>In progress</t>
        </is>
      </c>
      <c r="M6" s="10" t="inlineStr"/>
      <c r="N6" s="10" t="inlineStr">
        <is>
          <t>Reference Audit complete</t>
        </is>
      </c>
      <c r="O6" s="10" t="inlineStr">
        <is>
          <t>12</t>
        </is>
      </c>
      <c r="P6" s="10" t="inlineStr"/>
    </row>
    <row r="7">
      <c r="A7" s="10" t="inlineStr">
        <is>
          <t>A04</t>
        </is>
      </c>
      <c r="B7" s="10" t="inlineStr">
        <is>
          <t>Novelty positioning</t>
        </is>
      </c>
      <c r="C7" s="10" t="inlineStr">
        <is>
          <t>Add a concise comparison with existing acoustic / ultrasound reviews.</t>
        </is>
      </c>
      <c r="D7" s="10" t="inlineStr">
        <is>
          <t>Reduces desk-rejection risk for perceived overlap.</t>
        </is>
      </c>
      <c r="E7" s="10" t="inlineStr">
        <is>
          <t>Reference audit</t>
        </is>
      </c>
      <c r="F7" s="10" t="n">
        <v>5</v>
      </c>
      <c r="G7" s="10" t="n">
        <v>2</v>
      </c>
      <c r="H7" s="10" t="n">
        <v>4</v>
      </c>
      <c r="I7" s="10">
        <f>ROUND((F7*H7)/MAX(G7,1),2)</f>
        <v/>
      </c>
      <c r="J7" s="10" t="inlineStr">
        <is>
          <t>High</t>
        </is>
      </c>
      <c r="K7" s="10" t="inlineStr"/>
      <c r="L7" s="10" t="inlineStr">
        <is>
          <t>Not started</t>
        </is>
      </c>
      <c r="M7" s="10" t="inlineStr"/>
      <c r="N7" s="10" t="inlineStr">
        <is>
          <t>Novelty paragraph / comparison box</t>
        </is>
      </c>
      <c r="O7" s="10" t="inlineStr">
        <is>
          <t>02 S06</t>
        </is>
      </c>
      <c r="P7" s="10" t="inlineStr"/>
    </row>
    <row r="8">
      <c r="A8" s="10" t="inlineStr">
        <is>
          <t>A05</t>
        </is>
      </c>
      <c r="B8" s="10" t="inlineStr">
        <is>
          <t>Industrial claims</t>
        </is>
      </c>
      <c r="C8" s="10" t="inlineStr">
        <is>
          <t>Define maturity criteria or soften adoption statements.</t>
        </is>
      </c>
      <c r="D8" s="10" t="inlineStr">
        <is>
          <t>Avoids overgeneralization from selected examples.</t>
        </is>
      </c>
      <c r="E8" s="10" t="inlineStr">
        <is>
          <t>Comparator and market evidence</t>
        </is>
      </c>
      <c r="F8" s="10" t="n">
        <v>4</v>
      </c>
      <c r="G8" s="10" t="n">
        <v>2</v>
      </c>
      <c r="H8" s="10" t="n">
        <v>4</v>
      </c>
      <c r="I8" s="10">
        <f>ROUND((F8*H8)/MAX(G8,1),2)</f>
        <v/>
      </c>
      <c r="J8" s="10" t="inlineStr">
        <is>
          <t>High</t>
        </is>
      </c>
      <c r="K8" s="10" t="inlineStr"/>
      <c r="L8" s="10" t="inlineStr">
        <is>
          <t>Not started</t>
        </is>
      </c>
      <c r="M8" s="10" t="inlineStr"/>
      <c r="N8" s="10" t="inlineStr">
        <is>
          <t>Revised text + criteria</t>
        </is>
      </c>
      <c r="O8" s="10" t="inlineStr">
        <is>
          <t>04 C19</t>
        </is>
      </c>
      <c r="P8" s="10" t="inlineStr"/>
    </row>
    <row r="9">
      <c r="A9" s="10" t="inlineStr">
        <is>
          <t>A06</t>
        </is>
      </c>
      <c r="B9" s="10" t="inlineStr">
        <is>
          <t>Shelf claims</t>
        </is>
      </c>
      <c r="C9" s="10" t="inlineStr">
        <is>
          <t>Replace unsupported “shelf-life extension” language with shelf-relevant trajectories unless validated.</t>
        </is>
      </c>
      <c r="D9" s="10" t="inlineStr">
        <is>
          <t>Aligns title promise with evidence.</t>
        </is>
      </c>
      <c r="E9" s="10" t="inlineStr">
        <is>
          <t>Claim audit</t>
        </is>
      </c>
      <c r="F9" s="10" t="n">
        <v>5</v>
      </c>
      <c r="G9" s="10" t="n">
        <v>2</v>
      </c>
      <c r="H9" s="10" t="n">
        <v>4</v>
      </c>
      <c r="I9" s="10">
        <f>ROUND((F9*H9)/MAX(G9,1),2)</f>
        <v/>
      </c>
      <c r="J9" s="10" t="inlineStr">
        <is>
          <t>High</t>
        </is>
      </c>
      <c r="K9" s="10" t="inlineStr"/>
      <c r="L9" s="10" t="inlineStr">
        <is>
          <t>In progress</t>
        </is>
      </c>
      <c r="M9" s="10" t="inlineStr"/>
      <c r="N9" s="10" t="inlineStr">
        <is>
          <t>Revised Section 7</t>
        </is>
      </c>
      <c r="O9" s="10" t="inlineStr">
        <is>
          <t>03 Section 7</t>
        </is>
      </c>
      <c r="P9" s="10" t="inlineStr"/>
    </row>
    <row r="10">
      <c r="A10" s="10" t="inlineStr">
        <is>
          <t>A07</t>
        </is>
      </c>
      <c r="B10" s="10" t="inlineStr">
        <is>
          <t>Figures</t>
        </is>
      </c>
      <c r="C10" s="10" t="inlineStr">
        <is>
          <t>Finalize Figure 3 only after evidence coding; simplify Figure 2 and 4.</t>
        </is>
      </c>
      <c r="D10" s="10" t="inlineStr">
        <is>
          <t>Visuals carry the central scientific contribution.</t>
        </is>
      </c>
      <c r="E10" s="10" t="inlineStr">
        <is>
          <t>A02</t>
        </is>
      </c>
      <c r="F10" s="10" t="n">
        <v>5</v>
      </c>
      <c r="G10" s="10" t="n">
        <v>3</v>
      </c>
      <c r="H10" s="10" t="n">
        <v>4</v>
      </c>
      <c r="I10" s="10">
        <f>ROUND((F10*H10)/MAX(G10,1),2)</f>
        <v/>
      </c>
      <c r="J10" s="10" t="inlineStr">
        <is>
          <t>Critical</t>
        </is>
      </c>
      <c r="K10" s="10" t="inlineStr"/>
      <c r="L10" s="10" t="inlineStr">
        <is>
          <t>Not started</t>
        </is>
      </c>
      <c r="M10" s="10" t="inlineStr"/>
      <c r="N10" s="10" t="inlineStr">
        <is>
          <t>Final editable figures + captions</t>
        </is>
      </c>
      <c r="O10" s="10" t="inlineStr">
        <is>
          <t>09</t>
        </is>
      </c>
      <c r="P10" s="10" t="inlineStr"/>
    </row>
    <row r="11">
      <c r="A11" s="10" t="inlineStr">
        <is>
          <t>A08</t>
        </is>
      </c>
      <c r="B11" s="10" t="inlineStr">
        <is>
          <t>Tables</t>
        </is>
      </c>
      <c r="C11" s="10" t="inlineStr">
        <is>
          <t>Complete main Table 2 and Supplement S2–S3 from full texts.</t>
        </is>
      </c>
      <c r="D11" s="10" t="inlineStr">
        <is>
          <t>Comparative and causal evidence depend on complete extraction.</t>
        </is>
      </c>
      <c r="E11" s="10" t="inlineStr">
        <is>
          <t>A02</t>
        </is>
      </c>
      <c r="F11" s="10" t="n">
        <v>5</v>
      </c>
      <c r="G11" s="10" t="n">
        <v>4</v>
      </c>
      <c r="H11" s="10" t="n">
        <v>5</v>
      </c>
      <c r="I11" s="10">
        <f>ROUND((F11*H11)/MAX(G11,1),2)</f>
        <v/>
      </c>
      <c r="J11" s="10" t="inlineStr">
        <is>
          <t>Critical</t>
        </is>
      </c>
      <c r="K11" s="10" t="inlineStr"/>
      <c r="L11" s="10" t="inlineStr">
        <is>
          <t>Not started</t>
        </is>
      </c>
      <c r="M11" s="10" t="inlineStr"/>
      <c r="N11" s="10" t="inlineStr">
        <is>
          <t>Verified extraction tables</t>
        </is>
      </c>
      <c r="O11" s="10" t="inlineStr">
        <is>
          <t>10</t>
        </is>
      </c>
      <c r="P11" s="10" t="inlineStr"/>
    </row>
    <row r="12">
      <c r="A12" s="10" t="inlineStr">
        <is>
          <t>A09</t>
        </is>
      </c>
      <c r="B12" s="10" t="inlineStr">
        <is>
          <t>Experiment protocol</t>
        </is>
      </c>
      <c r="C12" s="10" t="inlineStr">
        <is>
          <t>Complete pilot variance, sample-size basis, equivalence margin and statistical model.</t>
        </is>
      </c>
      <c r="D12" s="10" t="inlineStr">
        <is>
          <t>Makes receiver equivalence implementable.</t>
        </is>
      </c>
      <c r="E12" s="10" t="inlineStr">
        <is>
          <t>Pilot data / statistician</t>
        </is>
      </c>
      <c r="F12" s="10" t="n">
        <v>4</v>
      </c>
      <c r="G12" s="10" t="n">
        <v>5</v>
      </c>
      <c r="H12" s="10" t="n">
        <v>3</v>
      </c>
      <c r="I12" s="10">
        <f>ROUND((F12*H12)/MAX(G12,1),2)</f>
        <v/>
      </c>
      <c r="J12" s="10" t="inlineStr">
        <is>
          <t>High</t>
        </is>
      </c>
      <c r="K12" s="10" t="inlineStr"/>
      <c r="L12" s="10" t="inlineStr">
        <is>
          <t>Not started</t>
        </is>
      </c>
      <c r="M12" s="10" t="inlineStr"/>
      <c r="N12" s="10" t="inlineStr">
        <is>
          <t>Final Table S5</t>
        </is>
      </c>
      <c r="O12" s="10" t="inlineStr">
        <is>
          <t>08 G05 / 10 S5</t>
        </is>
      </c>
      <c r="P12" s="10" t="inlineStr"/>
    </row>
    <row r="13">
      <c r="A13" s="10" t="inlineStr">
        <is>
          <t>A10</t>
        </is>
      </c>
      <c r="B13" s="10" t="inlineStr">
        <is>
          <t>Journal compliance</t>
        </is>
      </c>
      <c r="C13" s="10" t="inlineStr">
        <is>
          <t>Verify live TIFS article type, word/visual limits and artwork requirements.</t>
        </is>
      </c>
      <c r="D13" s="10" t="inlineStr">
        <is>
          <t>Prevents administrative rejection.</t>
        </is>
      </c>
      <c r="E13" s="10" t="inlineStr">
        <is>
          <t>Current Guide / Editorial Manager</t>
        </is>
      </c>
      <c r="F13" s="10" t="n">
        <v>5</v>
      </c>
      <c r="G13" s="10" t="n">
        <v>1</v>
      </c>
      <c r="H13" s="10" t="n">
        <v>5</v>
      </c>
      <c r="I13" s="10">
        <f>ROUND((F13*H13)/MAX(G13,1),2)</f>
        <v/>
      </c>
      <c r="J13" s="10" t="inlineStr">
        <is>
          <t>Critical</t>
        </is>
      </c>
      <c r="K13" s="10" t="inlineStr"/>
      <c r="L13" s="10" t="inlineStr">
        <is>
          <t>Not started</t>
        </is>
      </c>
      <c r="M13" s="10" t="inlineStr"/>
      <c r="N13" s="10" t="inlineStr">
        <is>
          <t>Compliance record / screenshots</t>
        </is>
      </c>
      <c r="O13" s="10" t="inlineStr">
        <is>
          <t>13</t>
        </is>
      </c>
      <c r="P13" s="10" t="inlineStr"/>
    </row>
    <row r="14">
      <c r="A14" s="10" t="inlineStr">
        <is>
          <t>A11</t>
        </is>
      </c>
      <c r="B14" s="10" t="inlineStr">
        <is>
          <t>Declarations</t>
        </is>
      </c>
      <c r="C14" s="10" t="inlineStr">
        <is>
          <t>Complete authors, CRediT, funding, COI, AI declaration and acknowledgements.</t>
        </is>
      </c>
      <c r="D14" s="10" t="inlineStr">
        <is>
          <t>Mandatory submission package.</t>
        </is>
      </c>
      <c r="E14" s="10" t="inlineStr">
        <is>
          <t>Co-author input</t>
        </is>
      </c>
      <c r="F14" s="10" t="n">
        <v>5</v>
      </c>
      <c r="G14" s="10" t="n">
        <v>2</v>
      </c>
      <c r="H14" s="10" t="n">
        <v>5</v>
      </c>
      <c r="I14" s="10">
        <f>ROUND((F14*H14)/MAX(G14,1),2)</f>
        <v/>
      </c>
      <c r="J14" s="10" t="inlineStr">
        <is>
          <t>Critical</t>
        </is>
      </c>
      <c r="K14" s="10" t="inlineStr"/>
      <c r="L14" s="10" t="inlineStr">
        <is>
          <t>Not started</t>
        </is>
      </c>
      <c r="M14" s="10" t="inlineStr"/>
      <c r="N14" s="10" t="inlineStr">
        <is>
          <t>Approved declarations</t>
        </is>
      </c>
      <c r="O14" s="10" t="inlineStr">
        <is>
          <t>13</t>
        </is>
      </c>
      <c r="P14" s="10" t="inlineStr"/>
    </row>
    <row r="15">
      <c r="A15" s="10" t="inlineStr">
        <is>
          <t>A12</t>
        </is>
      </c>
      <c r="B15" s="10" t="inlineStr">
        <is>
          <t>Repository</t>
        </is>
      </c>
      <c r="C15" s="10" t="inlineStr">
        <is>
          <t>Archive search records, grades, extraction tables and editable figures.</t>
        </is>
      </c>
      <c r="D15" s="10" t="inlineStr">
        <is>
          <t>Supports transparency and data availability.</t>
        </is>
      </c>
      <c r="E15" s="10" t="inlineStr">
        <is>
          <t>A01–A03</t>
        </is>
      </c>
      <c r="F15" s="10" t="n">
        <v>4</v>
      </c>
      <c r="G15" s="10" t="n">
        <v>3</v>
      </c>
      <c r="H15" s="10" t="n">
        <v>3</v>
      </c>
      <c r="I15" s="10">
        <f>ROUND((F15*H15)/MAX(G15,1),2)</f>
        <v/>
      </c>
      <c r="J15" s="10" t="inlineStr">
        <is>
          <t>High</t>
        </is>
      </c>
      <c r="K15" s="10" t="inlineStr"/>
      <c r="L15" s="10" t="inlineStr">
        <is>
          <t>Not started</t>
        </is>
      </c>
      <c r="M15" s="10" t="inlineStr"/>
      <c r="N15" s="10" t="inlineStr">
        <is>
          <t>Persistent repository link</t>
        </is>
      </c>
      <c r="O15" s="10" t="inlineStr">
        <is>
          <t>13 J20</t>
        </is>
      </c>
      <c r="P15" s="10" t="inlineStr"/>
    </row>
    <row r="16">
      <c r="A16" s="10" t="inlineStr">
        <is>
          <t>A13</t>
        </is>
      </c>
      <c r="B16" s="10" t="inlineStr">
        <is>
          <t>Writing edit</t>
        </is>
      </c>
      <c r="C16" s="10" t="inlineStr">
        <is>
          <t>Resolve high-risk long/passive sentences after scientific content is frozen.</t>
        </is>
      </c>
      <c r="D16" s="10" t="inlineStr">
        <is>
          <t>Improves clarity without destabilizing the argument.</t>
        </is>
      </c>
      <c r="E16" s="10" t="inlineStr">
        <is>
          <t>A01–A09 complete</t>
        </is>
      </c>
      <c r="F16" s="10" t="n">
        <v>3</v>
      </c>
      <c r="G16" s="10" t="n">
        <v>3</v>
      </c>
      <c r="H16" s="10" t="n">
        <v>2</v>
      </c>
      <c r="I16" s="10">
        <f>ROUND((F16*H16)/MAX(G16,1),2)</f>
        <v/>
      </c>
      <c r="J16" s="10" t="inlineStr">
        <is>
          <t>Medium</t>
        </is>
      </c>
      <c r="K16" s="10" t="inlineStr"/>
      <c r="L16" s="10" t="inlineStr">
        <is>
          <t>Not started</t>
        </is>
      </c>
      <c r="M16" s="10" t="inlineStr"/>
      <c r="N16" s="10" t="inlineStr">
        <is>
          <t>Writing Summary low/medium risk</t>
        </is>
      </c>
      <c r="O16" s="10" t="inlineStr">
        <is>
          <t>14 / 15</t>
        </is>
      </c>
      <c r="P16" s="10" t="inlineStr"/>
    </row>
    <row r="17">
      <c r="A17" s="10" t="inlineStr">
        <is>
          <t>A14</t>
        </is>
      </c>
      <c r="B17" s="10" t="inlineStr">
        <is>
          <t>External review</t>
        </is>
      </c>
      <c r="C17" s="10" t="inlineStr">
        <is>
          <t>Obtain feedback from acoustic metrologist, postharvest scientist, review-method expert and process engineer.</t>
        </is>
      </c>
      <c r="D17" s="10" t="inlineStr">
        <is>
          <t>Tests comprehension, fairness and feasibility.</t>
        </is>
      </c>
      <c r="E17" s="10" t="inlineStr">
        <is>
          <t>Near-final draft</t>
        </is>
      </c>
      <c r="F17" s="10" t="n">
        <v>5</v>
      </c>
      <c r="G17" s="10" t="n">
        <v>3</v>
      </c>
      <c r="H17" s="10" t="n">
        <v>3</v>
      </c>
      <c r="I17" s="10">
        <f>ROUND((F17*H17)/MAX(G17,1),2)</f>
        <v/>
      </c>
      <c r="J17" s="10" t="inlineStr">
        <is>
          <t>High</t>
        </is>
      </c>
      <c r="K17" s="10" t="inlineStr"/>
      <c r="L17" s="10" t="inlineStr">
        <is>
          <t>Not started</t>
        </is>
      </c>
      <c r="M17" s="10" t="inlineStr"/>
      <c r="N17" s="10" t="inlineStr">
        <is>
          <t>Comment log + resolved actions</t>
        </is>
      </c>
      <c r="O17" s="10" t="inlineStr">
        <is>
          <t>17 / coauthor review</t>
        </is>
      </c>
      <c r="P17" s="10" t="inlineStr"/>
    </row>
  </sheetData>
  <mergeCells count="2">
    <mergeCell ref="A1:P1"/>
    <mergeCell ref="A2:P2"/>
  </mergeCells>
  <conditionalFormatting sqref="J4:J17">
    <cfRule type="expression" priority="1" dxfId="4">
      <formula>$J4="Critical"</formula>
    </cfRule>
    <cfRule type="expression" priority="2" dxfId="3">
      <formula>$J4="High"</formula>
    </cfRule>
    <cfRule type="expression" priority="3" dxfId="2">
      <formula>$J4="Medium"</formula>
    </cfRule>
    <cfRule type="expression" priority="4" dxfId="0">
      <formula>$J4="Low"</formula>
    </cfRule>
  </conditionalFormatting>
  <conditionalFormatting sqref="L4:L17">
    <cfRule type="expression" priority="5" dxfId="0">
      <formula>$L4="Complete"</formula>
    </cfRule>
    <cfRule type="expression" priority="6" dxfId="1">
      <formula>$L4="In progress"</formula>
    </cfRule>
    <cfRule type="expression" priority="7" dxfId="2">
      <formula>$L4="Needs verification"</formula>
    </cfRule>
    <cfRule type="expression" priority="8" dxfId="3">
      <formula>$L4="Needs revision"</formula>
    </cfRule>
    <cfRule type="expression" priority="9" dxfId="4">
      <formula>$L4="Not started"</formula>
    </cfRule>
    <cfRule type="expression" priority="10" dxfId="5">
      <formula>$L4="Not applicable"</formula>
    </cfRule>
  </conditionalFormatting>
  <dataValidations count="5">
    <dataValidation sqref="F4:F17" showDropDown="0" showInputMessage="0" showErrorMessage="0" allowBlank="1" type="whole" operator="between">
      <formula1>0</formula1>
      <formula2>4</formula2>
    </dataValidation>
    <dataValidation sqref="G4:G17" showDropDown="0" showInputMessage="0" showErrorMessage="0" allowBlank="1" type="whole" operator="between">
      <formula1>0</formula1>
      <formula2>4</formula2>
    </dataValidation>
    <dataValidation sqref="H4:H17" showDropDown="0" showInputMessage="0" showErrorMessage="0" allowBlank="1" type="whole" operator="between">
      <formula1>0</formula1>
      <formula2>4</formula2>
    </dataValidation>
    <dataValidation sqref="J4:J17" showDropDown="0" showInputMessage="0" showErrorMessage="0" allowBlank="1" type="list">
      <formula1>=Lists!$C$2:$C$5</formula1>
    </dataValidation>
    <dataValidation sqref="L4:L17" showDropDown="0" showInputMessage="0" showErrorMessage="0" allowBlank="1" type="list">
      <formula1>=Lists!$A$2:$A$7</formula1>
    </dataValidation>
  </dataValidations>
  <pageMargins left="0.25" right="0.25" top="0.4" bottom="0.4" header="0.5" footer="0.5"/>
  <pageSetup orientation="landscape" fitToHeight="0" fitToWidth="1"/>
  <tableParts count="1">
    <tablePart xmlns:r="http://schemas.openxmlformats.org/officeDocument/2006/relationships" r:id="rId1"/>
  </tableParts>
</worksheet>
</file>

<file path=xl/worksheets/sheet18.xml><?xml version="1.0" encoding="utf-8"?>
<worksheet xmlns="http://schemas.openxmlformats.org/spreadsheetml/2006/main">
  <sheetPr>
    <tabColor rgb="0044546A"/>
    <outlinePr summaryBelow="1" summaryRight="1"/>
    <pageSetUpPr fitToPage="1"/>
  </sheetPr>
  <dimension ref="A1:L11"/>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48" customWidth="1" min="2" max="2"/>
    <col width="46" customWidth="1" min="3" max="3"/>
    <col width="42" customWidth="1" min="4" max="4"/>
    <col width="42" customWidth="1" min="5" max="5"/>
    <col width="13" customWidth="1" min="6" max="6"/>
    <col width="16" customWidth="1" min="7" max="7"/>
    <col width="18" customWidth="1" min="8" max="8"/>
    <col width="34" customWidth="1" min="9" max="9"/>
    <col width="28" customWidth="1" min="10" max="10"/>
    <col width="30" customWidth="1" min="11" max="11"/>
    <col width="20" customWidth="1" min="12" max="12"/>
  </cols>
  <sheetData>
    <row r="1" ht="30" customHeight="1">
      <c r="A1" s="1" t="inlineStr">
        <is>
          <t>Scientific and Editorial Decision Log</t>
        </is>
      </c>
    </row>
    <row r="2" ht="28" customHeight="1">
      <c r="A2" s="2" t="inlineStr">
        <is>
          <t>Use this sheet to prevent repeated scope drift and conflicting co-author edits.</t>
        </is>
      </c>
    </row>
    <row r="3">
      <c r="A3" s="9" t="inlineStr">
        <is>
          <t>Decision ID</t>
        </is>
      </c>
      <c r="B3" s="9" t="inlineStr">
        <is>
          <t>Decision</t>
        </is>
      </c>
      <c r="C3" s="9" t="inlineStr">
        <is>
          <t>Rationale</t>
        </is>
      </c>
      <c r="D3" s="9" t="inlineStr">
        <is>
          <t>Alternatives rejected</t>
        </is>
      </c>
      <c r="E3" s="9" t="inlineStr">
        <is>
          <t>Scientific consequence</t>
        </is>
      </c>
      <c r="F3" s="9" t="inlineStr">
        <is>
          <t>Date</t>
        </is>
      </c>
      <c r="G3" s="9" t="inlineStr">
        <is>
          <t>Decision owner</t>
        </is>
      </c>
      <c r="H3" s="9" t="inlineStr">
        <is>
          <t>Status</t>
        </is>
      </c>
      <c r="I3" s="9" t="inlineStr">
        <is>
          <t>Revisit trigger</t>
        </is>
      </c>
      <c r="J3" s="9" t="inlineStr">
        <is>
          <t>Linked section / figure</t>
        </is>
      </c>
      <c r="K3" s="9" t="inlineStr">
        <is>
          <t>Notes</t>
        </is>
      </c>
      <c r="L3" s="9" t="inlineStr">
        <is>
          <t>Approved by</t>
        </is>
      </c>
    </row>
    <row r="4">
      <c r="A4" s="10" t="inlineStr">
        <is>
          <t>D01</t>
        </is>
      </c>
      <c r="B4" s="10" t="inlineStr">
        <is>
          <t>Use intact fruit as the focal receiver.</t>
        </is>
      </c>
      <c r="C4" s="10" t="inlineStr">
        <is>
          <t>Keeps the evidence base bounded and food-engineering relevant.</t>
        </is>
      </c>
      <c r="D4" s="10" t="inlineStr">
        <is>
          <t>Full review of all food acoustic applications.</t>
        </is>
      </c>
      <c r="E4" s="10" t="inlineStr">
        <is>
          <t>Comparator fields inform mechanism but do not redefine scope.</t>
        </is>
      </c>
      <c r="F4" s="26" t="n">
        <v>46293</v>
      </c>
      <c r="G4" s="10" t="inlineStr">
        <is>
          <t>Lead author</t>
        </is>
      </c>
      <c r="H4" s="10" t="inlineStr">
        <is>
          <t>Complete</t>
        </is>
      </c>
      <c r="I4" s="10" t="inlineStr">
        <is>
          <t>New evidence justifies wider receiver scope.</t>
        </is>
      </c>
      <c r="J4" s="10" t="inlineStr">
        <is>
          <t>Title / abstract / Section 2</t>
        </is>
      </c>
      <c r="K4" s="10" t="inlineStr"/>
      <c r="L4" s="10" t="inlineStr"/>
    </row>
    <row r="5">
      <c r="A5" s="10" t="inlineStr">
        <is>
          <t>D02</t>
        </is>
      </c>
      <c r="B5" s="10" t="inlineStr">
        <is>
          <t>Keep light/optical processing outside the main review.</t>
        </is>
      </c>
      <c r="C5" s="10" t="inlineStr">
        <is>
          <t>Optical dosimetry requires a separate search and mechanism framework.</t>
        </is>
      </c>
      <c r="D5" s="10" t="inlineStr">
        <is>
          <t>Add light as co-equal modality.</t>
        </is>
      </c>
      <c r="E5" s="10" t="inlineStr">
        <is>
          <t>Mention only as future transferability test, if at all.</t>
        </is>
      </c>
      <c r="F5" s="26" t="n">
        <v>46293</v>
      </c>
      <c r="G5" s="10" t="inlineStr">
        <is>
          <t>Lead author</t>
        </is>
      </c>
      <c r="H5" s="10" t="inlineStr">
        <is>
          <t>Complete</t>
        </is>
      </c>
      <c r="I5" s="10" t="inlineStr">
        <is>
          <t>Separate optical review is commissioned.</t>
        </is>
      </c>
      <c r="J5" s="10" t="inlineStr">
        <is>
          <t>Scope</t>
        </is>
      </c>
      <c r="K5" s="10" t="inlineStr"/>
      <c r="L5" s="10" t="inlineStr"/>
    </row>
    <row r="6">
      <c r="A6" s="10" t="inlineStr">
        <is>
          <t>D03</t>
        </is>
      </c>
      <c r="B6" s="10" t="inlineStr">
        <is>
          <t>Use three headline contributions only.</t>
        </is>
      </c>
      <c r="C6" s="10" t="inlineStr">
        <is>
          <t>Preserves one clear “ping” and avoids feature-list storytelling.</t>
        </is>
      </c>
      <c r="D6" s="10" t="inlineStr">
        <is>
          <t>List Passport, Window, sentinels and digital twin as separate innovations.</t>
        </is>
      </c>
      <c r="E6" s="10" t="inlineStr">
        <is>
          <t>All tools become implementation layers of receiver-centred process design.</t>
        </is>
      </c>
      <c r="F6" s="26" t="n">
        <v>46293</v>
      </c>
      <c r="G6" s="10" t="inlineStr">
        <is>
          <t>Lead author</t>
        </is>
      </c>
      <c r="H6" s="10" t="inlineStr">
        <is>
          <t>Complete</t>
        </is>
      </c>
      <c r="I6" s="10" t="inlineStr">
        <is>
          <t>Editor requests different framing.</t>
        </is>
      </c>
      <c r="J6" s="10" t="inlineStr">
        <is>
          <t>Introduction</t>
        </is>
      </c>
      <c r="K6" s="10" t="inlineStr"/>
      <c r="L6" s="10" t="inlineStr"/>
    </row>
    <row r="7">
      <c r="A7" s="10" t="inlineStr">
        <is>
          <t>D04</t>
        </is>
      </c>
      <c r="B7" s="10" t="inlineStr">
        <is>
          <t>Use 4 main figures + 3 main tables.</t>
        </is>
      </c>
      <c r="C7" s="10" t="inlineStr">
        <is>
          <t>Conservative, non-duplicative package that carries the full argument.</t>
        </is>
      </c>
      <c r="D7" s="10" t="inlineStr">
        <is>
          <t>8 figures + 7 tables.</t>
        </is>
      </c>
      <c r="E7" s="10" t="inlineStr">
        <is>
          <t>Detailed methods move to supplement.</t>
        </is>
      </c>
      <c r="F7" s="26" t="n">
        <v>46293</v>
      </c>
      <c r="G7" s="10" t="inlineStr">
        <is>
          <t>Lead author</t>
        </is>
      </c>
      <c r="H7" s="10" t="inlineStr">
        <is>
          <t>Complete</t>
        </is>
      </c>
      <c r="I7" s="10" t="inlineStr">
        <is>
          <t>Live TIFS instructions require another format.</t>
        </is>
      </c>
      <c r="J7" s="10" t="inlineStr">
        <is>
          <t>Figures / tables</t>
        </is>
      </c>
      <c r="K7" s="10" t="inlineStr"/>
      <c r="L7" s="10" t="inlineStr"/>
    </row>
    <row r="8">
      <c r="A8" s="10" t="inlineStr">
        <is>
          <t>D05</t>
        </is>
      </c>
      <c r="B8" s="10" t="inlineStr">
        <is>
          <t>Use 2 supplementary figures + 5 supplementary tables.</t>
        </is>
      </c>
      <c r="C8" s="10" t="inlineStr">
        <is>
          <t>Supplement proves search, evidence coding and experiment reproducibility.</t>
        </is>
      </c>
      <c r="D8" s="10" t="inlineStr">
        <is>
          <t>Large internal planning package.</t>
        </is>
      </c>
      <c r="E8" s="10" t="inlineStr">
        <is>
          <t>Removes editorial notes and duplicated visuals.</t>
        </is>
      </c>
      <c r="F8" s="26" t="n">
        <v>46293</v>
      </c>
      <c r="G8" s="10" t="inlineStr">
        <is>
          <t>Lead author</t>
        </is>
      </c>
      <c r="H8" s="10" t="inlineStr">
        <is>
          <t>Complete</t>
        </is>
      </c>
      <c r="I8" s="10" t="inlineStr">
        <is>
          <t>Methodology expands materially.</t>
        </is>
      </c>
      <c r="J8" s="10" t="inlineStr">
        <is>
          <t>Supplement</t>
        </is>
      </c>
      <c r="K8" s="10" t="inlineStr"/>
      <c r="L8" s="10" t="inlineStr"/>
    </row>
    <row r="9">
      <c r="A9" s="10" t="inlineStr">
        <is>
          <t>D06</t>
        </is>
      </c>
      <c r="B9" s="10" t="inlineStr">
        <is>
          <t>Position digital twin downstream of physical validation.</t>
        </is>
      </c>
      <c r="C9" s="10" t="inlineStr">
        <is>
          <t>An advanced estimator cannot repair an unidentified transfer route.</t>
        </is>
      </c>
      <c r="D9" s="10" t="inlineStr">
        <is>
          <t>Make AI / digital twin a headline contribution.</t>
        </is>
      </c>
      <c r="E9" s="10" t="inlineStr">
        <is>
          <t>Prevents speculative scope creep.</t>
        </is>
      </c>
      <c r="F9" s="26" t="n">
        <v>46293</v>
      </c>
      <c r="G9" s="10" t="inlineStr">
        <is>
          <t>Lead author</t>
        </is>
      </c>
      <c r="H9" s="10" t="inlineStr">
        <is>
          <t>Complete</t>
        </is>
      </c>
      <c r="I9" s="10" t="inlineStr">
        <is>
          <t>Closed-loop experimental evidence emerges.</t>
        </is>
      </c>
      <c r="J9" s="10" t="inlineStr">
        <is>
          <t>Section 7.5</t>
        </is>
      </c>
      <c r="K9" s="10" t="inlineStr"/>
      <c r="L9" s="10" t="inlineStr"/>
    </row>
    <row r="10">
      <c r="A10" s="10" t="inlineStr">
        <is>
          <t>D07</t>
        </is>
      </c>
      <c r="B10" s="10" t="inlineStr">
        <is>
          <t>Use corpus-bounded 0/7 wording.</t>
        </is>
      </c>
      <c r="C10" s="10" t="inlineStr">
        <is>
          <t>Search is question-led and final screening records remain pending.</t>
        </is>
      </c>
      <c r="D10" s="10" t="inlineStr">
        <is>
          <t>“No study in the field…”</t>
        </is>
      </c>
      <c r="E10" s="10" t="inlineStr">
        <is>
          <t>Protects evidential honesty.</t>
        </is>
      </c>
      <c r="F10" s="26" t="n">
        <v>46293</v>
      </c>
      <c r="G10" s="10" t="inlineStr">
        <is>
          <t>Lead author</t>
        </is>
      </c>
      <c r="H10" s="10" t="inlineStr">
        <is>
          <t>Complete</t>
        </is>
      </c>
      <c r="I10" s="10" t="inlineStr">
        <is>
          <t>Completed systematic search changes denominator.</t>
        </is>
      </c>
      <c r="J10" s="10" t="inlineStr">
        <is>
          <t>Abstract / Figure 3</t>
        </is>
      </c>
      <c r="K10" s="10" t="inlineStr"/>
      <c r="L10" s="10" t="inlineStr"/>
    </row>
    <row r="11">
      <c r="A11" s="10" t="inlineStr">
        <is>
          <t>D08</t>
        </is>
      </c>
      <c r="B11" s="10" t="inlineStr">
        <is>
          <t>Treat receiver equivalence as a falsifiable hypothesis, not a validated fact.</t>
        </is>
      </c>
      <c r="C11" s="10" t="inlineStr">
        <is>
          <t>No cross-platform experiment has yet demonstrated it.</t>
        </is>
      </c>
      <c r="D11" s="10" t="inlineStr">
        <is>
          <t>Present as established process definition.</t>
        </is>
      </c>
      <c r="E11" s="10" t="inlineStr">
        <is>
          <t>Requires explicit pass/fail experiment.</t>
        </is>
      </c>
      <c r="F11" s="26" t="n">
        <v>46293</v>
      </c>
      <c r="G11" s="10" t="inlineStr">
        <is>
          <t>Lead author</t>
        </is>
      </c>
      <c r="H11" s="10" t="inlineStr">
        <is>
          <t>Complete</t>
        </is>
      </c>
      <c r="I11" s="10" t="inlineStr">
        <is>
          <t>Experimental validation is completed.</t>
        </is>
      </c>
      <c r="J11" s="10" t="inlineStr">
        <is>
          <t>Figure 4 / Section 8</t>
        </is>
      </c>
      <c r="K11" s="10" t="inlineStr"/>
      <c r="L11" s="10" t="inlineStr"/>
    </row>
  </sheetData>
  <mergeCells count="2">
    <mergeCell ref="A2:L2"/>
    <mergeCell ref="A1:L1"/>
  </mergeCells>
  <conditionalFormatting sqref="H4:H11">
    <cfRule type="expression" priority="1" dxfId="0">
      <formula>$H4="Complete"</formula>
    </cfRule>
    <cfRule type="expression" priority="2" dxfId="1">
      <formula>$H4="In progress"</formula>
    </cfRule>
    <cfRule type="expression" priority="3" dxfId="2">
      <formula>$H4="Needs verification"</formula>
    </cfRule>
    <cfRule type="expression" priority="4" dxfId="3">
      <formula>$H4="Needs revision"</formula>
    </cfRule>
    <cfRule type="expression" priority="5" dxfId="4">
      <formula>$H4="Not started"</formula>
    </cfRule>
    <cfRule type="expression" priority="6" dxfId="5">
      <formula>$H4="Not applicable"</formula>
    </cfRule>
  </conditionalFormatting>
  <dataValidations count="1">
    <dataValidation sqref="H4:H11" showDropDown="0" showInputMessage="0" showErrorMessage="0" allowBlank="1" type="list">
      <formula1>=Lists!$A$2:$A$7</formula1>
    </dataValidation>
  </dataValidations>
  <pageMargins left="0.25" right="0.25" top="0.4" bottom="0.4" header="0.5" footer="0.5"/>
  <pageSetup orientation="landscape" fitToHeight="0" fitToWidth="1"/>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Status</t>
        </is>
      </c>
      <c r="C1" t="inlineStr">
        <is>
          <t>Priority</t>
        </is>
      </c>
      <c r="E1" t="inlineStr">
        <is>
          <t>EvidenceType</t>
        </is>
      </c>
      <c r="G1" t="inlineStr">
        <is>
          <t>YesNoPartial</t>
        </is>
      </c>
      <c r="I1" t="inlineStr">
        <is>
          <t>Grade</t>
        </is>
      </c>
      <c r="K1" t="inlineStr">
        <is>
          <t>Score</t>
        </is>
      </c>
      <c r="M1" t="inlineStr">
        <is>
          <t>Grade</t>
        </is>
      </c>
      <c r="N1" t="inlineStr">
        <is>
          <t>Numeric</t>
        </is>
      </c>
      <c r="P1" t="inlineStr">
        <is>
          <t>Status</t>
        </is>
      </c>
      <c r="Q1" t="inlineStr">
        <is>
          <t>Completion</t>
        </is>
      </c>
    </row>
    <row r="2">
      <c r="A2" t="inlineStr">
        <is>
          <t>Not started</t>
        </is>
      </c>
      <c r="C2" t="inlineStr">
        <is>
          <t>Critical</t>
        </is>
      </c>
      <c r="E2" t="inlineStr">
        <is>
          <t>Direct measurement</t>
        </is>
      </c>
      <c r="G2" t="inlineStr">
        <is>
          <t>Yes</t>
        </is>
      </c>
      <c r="I2" t="inlineStr">
        <is>
          <t>A</t>
        </is>
      </c>
      <c r="K2" t="n">
        <v>0</v>
      </c>
      <c r="M2" t="inlineStr">
        <is>
          <t>A</t>
        </is>
      </c>
      <c r="N2" t="n">
        <v>4</v>
      </c>
      <c r="P2" t="inlineStr">
        <is>
          <t>Not started</t>
        </is>
      </c>
      <c r="Q2" t="n">
        <v>0</v>
      </c>
    </row>
    <row r="3">
      <c r="A3" t="inlineStr">
        <is>
          <t>In progress</t>
        </is>
      </c>
      <c r="C3" t="inlineStr">
        <is>
          <t>High</t>
        </is>
      </c>
      <c r="E3" t="inlineStr">
        <is>
          <t>Supported association</t>
        </is>
      </c>
      <c r="G3" t="inlineStr">
        <is>
          <t>Partial</t>
        </is>
      </c>
      <c r="I3" t="inlineStr">
        <is>
          <t>B</t>
        </is>
      </c>
      <c r="K3" t="n">
        <v>1</v>
      </c>
      <c r="M3" t="inlineStr">
        <is>
          <t>B</t>
        </is>
      </c>
      <c r="N3" t="n">
        <v>3</v>
      </c>
      <c r="P3" t="inlineStr">
        <is>
          <t>In progress</t>
        </is>
      </c>
      <c r="Q3" t="n">
        <v>0.4</v>
      </c>
    </row>
    <row r="4">
      <c r="A4" t="inlineStr">
        <is>
          <t>Needs verification</t>
        </is>
      </c>
      <c r="C4" t="inlineStr">
        <is>
          <t>Medium</t>
        </is>
      </c>
      <c r="E4" t="inlineStr">
        <is>
          <t>Evidence-based inference</t>
        </is>
      </c>
      <c r="G4" t="inlineStr">
        <is>
          <t>No</t>
        </is>
      </c>
      <c r="I4" t="inlineStr">
        <is>
          <t>C</t>
        </is>
      </c>
      <c r="K4" t="n">
        <v>2</v>
      </c>
      <c r="M4" t="inlineStr">
        <is>
          <t>C</t>
        </is>
      </c>
      <c r="N4" t="n">
        <v>2</v>
      </c>
      <c r="P4" t="inlineStr">
        <is>
          <t>Needs verification</t>
        </is>
      </c>
      <c r="Q4" t="n">
        <v>0.5</v>
      </c>
    </row>
    <row r="5">
      <c r="A5" t="inlineStr">
        <is>
          <t>Needs revision</t>
        </is>
      </c>
      <c r="C5" t="inlineStr">
        <is>
          <t>Low</t>
        </is>
      </c>
      <c r="E5" t="inlineStr">
        <is>
          <t>Testable hypothesis</t>
        </is>
      </c>
      <c r="G5" t="inlineStr">
        <is>
          <t>Not applicable</t>
        </is>
      </c>
      <c r="I5" t="inlineStr">
        <is>
          <t>D</t>
        </is>
      </c>
      <c r="K5" t="n">
        <v>3</v>
      </c>
      <c r="M5" t="inlineStr">
        <is>
          <t>D</t>
        </is>
      </c>
      <c r="N5" t="n">
        <v>1</v>
      </c>
      <c r="P5" t="inlineStr">
        <is>
          <t>Needs revision</t>
        </is>
      </c>
      <c r="Q5" t="n">
        <v>0.6</v>
      </c>
    </row>
    <row r="6">
      <c r="A6" t="inlineStr">
        <is>
          <t>Complete</t>
        </is>
      </c>
      <c r="E6" t="inlineStr">
        <is>
          <t>Speculation</t>
        </is>
      </c>
      <c r="K6" t="n">
        <v>4</v>
      </c>
      <c r="P6" t="inlineStr">
        <is>
          <t>Complete</t>
        </is>
      </c>
      <c r="Q6" t="n">
        <v>1</v>
      </c>
    </row>
    <row r="7">
      <c r="A7" t="inlineStr">
        <is>
          <t>Not applicable</t>
        </is>
      </c>
      <c r="P7" t="inlineStr">
        <is>
          <t>Not applicable</t>
        </is>
      </c>
      <c r="Q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2026-09-28T14:56:52Z</dcterms:created>
  <dcterms:modified xmlns:dcterms="http://purl.org/dc/terms/" xmlns:xsi="http://www.w3.org/2001/XMLSchema-instance" xsi:type="dcterms:W3CDTF">2026-09-28T14:58:47Z</dcterms:modified>
</cp:coreProperties>
</file>